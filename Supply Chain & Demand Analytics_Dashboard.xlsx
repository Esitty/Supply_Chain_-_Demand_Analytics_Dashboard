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mc:AlternateContent xmlns:mc="http://schemas.openxmlformats.org/markup-compatibility/2006">
    <mc:Choice Requires="x15">
      <x15ac:absPath xmlns:x15ac="http://schemas.microsoft.com/office/spreadsheetml/2010/11/ac" url="/Users/naanaesi/Desktop/Dashboard Projects/Supply chain dashboard/"/>
    </mc:Choice>
  </mc:AlternateContent>
  <xr:revisionPtr revIDLastSave="0" documentId="13_ncr:1_{A554F1C2-F4E1-A34A-9EC1-AF04B94D94A8}" xr6:coauthVersionLast="47" xr6:coauthVersionMax="47" xr10:uidLastSave="{00000000-0000-0000-0000-000000000000}"/>
  <bookViews>
    <workbookView xWindow="0" yWindow="660" windowWidth="29400" windowHeight="18460" xr2:uid="{48A10043-7170-684B-918D-0FF0482665D2}"/>
  </bookViews>
  <sheets>
    <sheet name="Dashboard" sheetId="3" r:id="rId1"/>
    <sheet name="Pivot Tables" sheetId="2" state="hidden" r:id="rId2"/>
    <sheet name="Sheet1" sheetId="1" state="hidden" r:id="rId3"/>
  </sheets>
  <definedNames>
    <definedName name="Slicer_Product_Type">#N/A</definedName>
    <definedName name="Slicer_Supplier">#N/A</definedName>
    <definedName name="Slicer_Warehouse_Location">#N/A</definedName>
  </definedNames>
  <calcPr calcId="191029"/>
  <pivotCaches>
    <pivotCache cacheId="555"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2" i="1" l="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C5" i="2"/>
  <c r="AH4" i="2"/>
  <c r="B5" i="2"/>
  <c r="R6" i="2"/>
  <c r="X4" i="2"/>
  <c r="A5" i="2"/>
  <c r="R5" i="2"/>
  <c r="E4" i="2"/>
  <c r="R4" i="2"/>
  <c r="X7" i="2"/>
  <c r="X6" i="2"/>
  <c r="X5" i="2"/>
  <c r="D5" i="2"/>
  <c r="AH5" i="2"/>
  <c r="AH6" i="2"/>
  <c r="E5" i="2" l="1"/>
</calcChain>
</file>

<file path=xl/sharedStrings.xml><?xml version="1.0" encoding="utf-8"?>
<sst xmlns="http://schemas.openxmlformats.org/spreadsheetml/2006/main" count="187" uniqueCount="43">
  <si>
    <t>Date</t>
  </si>
  <si>
    <t>Product_Type</t>
  </si>
  <si>
    <t>Supplier</t>
  </si>
  <si>
    <t>Warehouse_Location</t>
  </si>
  <si>
    <t>Inventory_Level</t>
  </si>
  <si>
    <t>Units_Ordered</t>
  </si>
  <si>
    <t>Units_Delivered</t>
  </si>
  <si>
    <t>Delivery_Time</t>
  </si>
  <si>
    <t>Units_Sold</t>
  </si>
  <si>
    <t>Price_per_Unit</t>
  </si>
  <si>
    <t>Revenue</t>
  </si>
  <si>
    <t>Cost_per_Unit</t>
  </si>
  <si>
    <t>Total_Cost</t>
  </si>
  <si>
    <t>Profit</t>
  </si>
  <si>
    <t>Solar Panel</t>
  </si>
  <si>
    <t>Supplier A</t>
  </si>
  <si>
    <t>Berlin</t>
  </si>
  <si>
    <t>Battery</t>
  </si>
  <si>
    <t>Supplier B</t>
  </si>
  <si>
    <t>Hamburg</t>
  </si>
  <si>
    <t>Heat Pump</t>
  </si>
  <si>
    <t>Supplier C</t>
  </si>
  <si>
    <t>Munich</t>
  </si>
  <si>
    <t>EV Charger</t>
  </si>
  <si>
    <t>Frankfurt</t>
  </si>
  <si>
    <t>Cologne</t>
  </si>
  <si>
    <t>Row Labels</t>
  </si>
  <si>
    <t>Grand Total</t>
  </si>
  <si>
    <t>Sum of Units_Sold</t>
  </si>
  <si>
    <t>Sum of Revenue</t>
  </si>
  <si>
    <t>Sum of Profit</t>
  </si>
  <si>
    <t>Sum of Units_Ordered</t>
  </si>
  <si>
    <t>Sum of Units_Delivered</t>
  </si>
  <si>
    <t>Average of Delivery_Time</t>
  </si>
  <si>
    <t>Inventory Gap</t>
  </si>
  <si>
    <t>delivery delays &amp; risk analysis</t>
  </si>
  <si>
    <t>Ttotal Revenue</t>
  </si>
  <si>
    <t>Total Profit</t>
  </si>
  <si>
    <t>Total Units_Sold</t>
  </si>
  <si>
    <t>Total Units_Delivered</t>
  </si>
  <si>
    <t>Inventory gap</t>
  </si>
  <si>
    <t>Sum of Inventory gap</t>
  </si>
  <si>
    <t>Profit margin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</si>
</sst>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_);_(* \(#,##0\);_(* &quot;-&quot;??_);_(@_)"/>
    <numFmt numFmtId="165" formatCode="0.0"/>
  </numFmts>
  <fonts count="2" x14ac:knownFonts="1">
    <font>
      <sz val="12"/>
      <color theme="1"/>
      <name val="Century Gothic"/>
      <family val="2"/>
      <scheme val="minor"/>
    </font>
    <font>
      <sz val="12"/>
      <color theme="1"/>
      <name val="Century Gothic"/>
      <family val="2"/>
      <scheme val="minor"/>
    </font>
  </fonts>
  <fills count="2">
    <fill>
      <patternFill patternType="none"/>
    </fill>
    <fill>
      <patternFill patternType="gray125"/>
    </fill>
  </fills>
  <borders count="1">
    <border>
      <left/>
      <right/>
      <top/>
      <bottom/>
      <diagonal/>
    </border>
  </borders>
  <cellStyleXfs count="2">
    <xf numFmtId="0" fontId="0" fillId="0" borderId="0"/>
    <xf numFmtId="43" fontId="1" fillId="0" borderId="0" applyFont="0" applyFill="0" applyBorder="0" applyAlignment="0" applyProtection="0"/>
  </cellStyleXfs>
  <cellXfs count="12">
    <xf numFmtId="0" fontId="0" fillId="0" borderId="0" xfId="0"/>
    <xf numFmtId="14" fontId="0" fillId="0" borderId="0" xfId="0" applyNumberFormat="1"/>
    <xf numFmtId="0" fontId="0" fillId="0" borderId="0" xfId="0" pivotButton="1"/>
    <xf numFmtId="0" fontId="0" fillId="0" borderId="0" xfId="0" applyAlignment="1">
      <alignment horizontal="left"/>
    </xf>
    <xf numFmtId="43" fontId="0" fillId="0" borderId="0" xfId="0" applyNumberFormat="1"/>
    <xf numFmtId="164" fontId="0" fillId="0" borderId="0" xfId="0" applyNumberFormat="1"/>
    <xf numFmtId="2" fontId="0" fillId="0" borderId="0" xfId="0" applyNumberFormat="1"/>
    <xf numFmtId="165" fontId="0" fillId="0" borderId="0" xfId="0" applyNumberFormat="1"/>
    <xf numFmtId="10" fontId="0" fillId="0" borderId="0" xfId="0" applyNumberFormat="1"/>
    <xf numFmtId="43" fontId="0" fillId="0" borderId="0" xfId="1" applyFont="1"/>
    <xf numFmtId="164" fontId="0" fillId="0" borderId="0" xfId="1" applyNumberFormat="1" applyFont="1"/>
    <xf numFmtId="0" fontId="0" fillId="0" borderId="0" xfId="0" applyAlignment="1">
      <alignment horizontal="center"/>
    </xf>
  </cellXfs>
  <cellStyles count="2">
    <cellStyle name="Comma" xfId="1" builtinId="3"/>
    <cellStyle name="Normal" xfId="0" builtinId="0"/>
  </cellStyles>
  <dxfs count="13">
    <dxf>
      <numFmt numFmtId="0" formatCode="General"/>
    </dxf>
    <dxf>
      <numFmt numFmtId="19" formatCode="m/d/yy"/>
    </dxf>
    <dxf>
      <numFmt numFmtId="165" formatCode="0.0"/>
    </dxf>
    <dxf>
      <numFmt numFmtId="164" formatCode="_(* #,##0_);_(* \(#,##0\);_(* &quot;-&quot;??_);_(@_)"/>
    </dxf>
    <dxf>
      <numFmt numFmtId="35" formatCode="_(* #,##0.00_);_(* \(#,##0.00\);_(* &quot;-&quot;??_);_(@_)"/>
    </dxf>
    <dxf>
      <numFmt numFmtId="164" formatCode="_(* #,##0_);_(* \(#,##0\);_(* &quot;-&quot;??_);_(@_)"/>
    </dxf>
    <dxf>
      <numFmt numFmtId="2" formatCode="0.00"/>
    </dxf>
    <dxf>
      <numFmt numFmtId="164" formatCode="_(* #,##0_);_(* \(#,##0\);_(* &quot;-&quot;??_);_(@_)"/>
    </dxf>
    <dxf>
      <numFmt numFmtId="165" formatCode="0.0"/>
    </dxf>
    <dxf>
      <numFmt numFmtId="165" formatCode="0.0"/>
    </dxf>
    <dxf>
      <numFmt numFmtId="164" formatCode="_(* #,##0_);_(* \(#,##0\);_(* &quot;-&quot;??_);_(@_)"/>
    </dxf>
    <dxf>
      <numFmt numFmtId="164" formatCode="_(* #,##0_);_(* \(#,##0\);_(* &quot;-&quot;??_);_(@_)"/>
    </dxf>
    <dxf>
      <numFmt numFmtId="165" formatCode="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 Chain &amp; Demand Analytics_Dashboard.xlsx]Pivot Tables!PivotTable23</c:name>
    <c:fmtId val="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Demand</a:t>
            </a:r>
            <a:r>
              <a:rPr lang="en-US" b="1" baseline="0"/>
              <a:t> vs Supply by Product</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Tables'!$V$3</c:f>
              <c:strCache>
                <c:ptCount val="1"/>
                <c:pt idx="0">
                  <c:v>Total Units_Delivered</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Tables'!$U$4:$U$8</c:f>
              <c:strCache>
                <c:ptCount val="4"/>
                <c:pt idx="0">
                  <c:v>Battery</c:v>
                </c:pt>
                <c:pt idx="1">
                  <c:v>EV Charger</c:v>
                </c:pt>
                <c:pt idx="2">
                  <c:v>Heat Pump</c:v>
                </c:pt>
                <c:pt idx="3">
                  <c:v>Solar Panel</c:v>
                </c:pt>
              </c:strCache>
            </c:strRef>
          </c:cat>
          <c:val>
            <c:numRef>
              <c:f>'Pivot Tables'!$V$4:$V$8</c:f>
              <c:numCache>
                <c:formatCode>General</c:formatCode>
                <c:ptCount val="4"/>
                <c:pt idx="0">
                  <c:v>946</c:v>
                </c:pt>
                <c:pt idx="1">
                  <c:v>675</c:v>
                </c:pt>
                <c:pt idx="2">
                  <c:v>700</c:v>
                </c:pt>
                <c:pt idx="3">
                  <c:v>1145</c:v>
                </c:pt>
              </c:numCache>
            </c:numRef>
          </c:val>
          <c:extLst>
            <c:ext xmlns:c16="http://schemas.microsoft.com/office/drawing/2014/chart" uri="{C3380CC4-5D6E-409C-BE32-E72D297353CC}">
              <c16:uniqueId val="{00000000-6842-D045-84BF-C899176DC6C2}"/>
            </c:ext>
          </c:extLst>
        </c:ser>
        <c:ser>
          <c:idx val="1"/>
          <c:order val="1"/>
          <c:tx>
            <c:strRef>
              <c:f>'Pivot Tables'!$W$3</c:f>
              <c:strCache>
                <c:ptCount val="1"/>
                <c:pt idx="0">
                  <c:v>Total Units_Sold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Tables'!$U$4:$U$8</c:f>
              <c:strCache>
                <c:ptCount val="4"/>
                <c:pt idx="0">
                  <c:v>Battery</c:v>
                </c:pt>
                <c:pt idx="1">
                  <c:v>EV Charger</c:v>
                </c:pt>
                <c:pt idx="2">
                  <c:v>Heat Pump</c:v>
                </c:pt>
                <c:pt idx="3">
                  <c:v>Solar Panel</c:v>
                </c:pt>
              </c:strCache>
            </c:strRef>
          </c:cat>
          <c:val>
            <c:numRef>
              <c:f>'Pivot Tables'!$W$4:$W$8</c:f>
              <c:numCache>
                <c:formatCode>General</c:formatCode>
                <c:ptCount val="4"/>
                <c:pt idx="0">
                  <c:v>805</c:v>
                </c:pt>
                <c:pt idx="1">
                  <c:v>575</c:v>
                </c:pt>
                <c:pt idx="2">
                  <c:v>600</c:v>
                </c:pt>
                <c:pt idx="3">
                  <c:v>990</c:v>
                </c:pt>
              </c:numCache>
            </c:numRef>
          </c:val>
          <c:extLst>
            <c:ext xmlns:c16="http://schemas.microsoft.com/office/drawing/2014/chart" uri="{C3380CC4-5D6E-409C-BE32-E72D297353CC}">
              <c16:uniqueId val="{00000001-6842-D045-84BF-C899176DC6C2}"/>
            </c:ext>
          </c:extLst>
        </c:ser>
        <c:dLbls>
          <c:showLegendKey val="0"/>
          <c:showVal val="0"/>
          <c:showCatName val="0"/>
          <c:showSerName val="0"/>
          <c:showPercent val="0"/>
          <c:showBubbleSize val="0"/>
        </c:dLbls>
        <c:gapWidth val="219"/>
        <c:overlap val="-27"/>
        <c:axId val="1821925695"/>
        <c:axId val="1821917183"/>
      </c:barChart>
      <c:catAx>
        <c:axId val="18219256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821917183"/>
        <c:crosses val="autoZero"/>
        <c:auto val="1"/>
        <c:lblAlgn val="ctr"/>
        <c:lblOffset val="100"/>
        <c:noMultiLvlLbl val="0"/>
      </c:catAx>
      <c:valAx>
        <c:axId val="18219171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19256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 Chain &amp; Demand Analytics_Dashboard.xlsx]Pivot Tables!PivotTable25</c:name>
    <c:fmtId val="1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Units</a:t>
            </a:r>
            <a:r>
              <a:rPr lang="en-US" b="1" baseline="0"/>
              <a:t> Delivered by Supplier</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Tables'!$AL$3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Tables'!$AK$4:$AK$7</c:f>
              <c:strCache>
                <c:ptCount val="3"/>
                <c:pt idx="0">
                  <c:v>Supplier A</c:v>
                </c:pt>
                <c:pt idx="1">
                  <c:v>Supplier B</c:v>
                </c:pt>
                <c:pt idx="2">
                  <c:v>Supplier C</c:v>
                </c:pt>
              </c:strCache>
            </c:strRef>
          </c:cat>
          <c:val>
            <c:numRef>
              <c:f>'Pivot Tables'!$AL$4:$AL$7</c:f>
              <c:numCache>
                <c:formatCode>_(* #,##0_);_(* \(#,##0\);_(* "-"??_);_(@_)</c:formatCode>
                <c:ptCount val="3"/>
                <c:pt idx="0">
                  <c:v>1396</c:v>
                </c:pt>
                <c:pt idx="1">
                  <c:v>1155</c:v>
                </c:pt>
                <c:pt idx="2">
                  <c:v>915</c:v>
                </c:pt>
              </c:numCache>
            </c:numRef>
          </c:val>
          <c:extLst>
            <c:ext xmlns:c16="http://schemas.microsoft.com/office/drawing/2014/chart" uri="{C3380CC4-5D6E-409C-BE32-E72D297353CC}">
              <c16:uniqueId val="{00000000-A8FE-A24A-8B64-8E93954A1343}"/>
            </c:ext>
          </c:extLst>
        </c:ser>
        <c:dLbls>
          <c:showLegendKey val="0"/>
          <c:showVal val="0"/>
          <c:showCatName val="0"/>
          <c:showSerName val="0"/>
          <c:showPercent val="0"/>
          <c:showBubbleSize val="0"/>
        </c:dLbls>
        <c:gapWidth val="182"/>
        <c:axId val="1879610623"/>
        <c:axId val="1879613311"/>
      </c:barChart>
      <c:catAx>
        <c:axId val="18796106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879613311"/>
        <c:crosses val="autoZero"/>
        <c:auto val="1"/>
        <c:lblAlgn val="ctr"/>
        <c:lblOffset val="100"/>
        <c:noMultiLvlLbl val="0"/>
      </c:catAx>
      <c:valAx>
        <c:axId val="1879613311"/>
        <c:scaling>
          <c:orientation val="minMax"/>
        </c:scaling>
        <c:delete val="0"/>
        <c:axPos val="b"/>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96106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 Chain &amp; Demand Analytics_Dashboard.xlsx]Pivot Tables!PivotTable26</c:name>
    <c:fmtId val="1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Average Delivery Time by Supplier</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Tables'!$AQ$3</c:f>
              <c:strCache>
                <c:ptCount val="1"/>
                <c:pt idx="0">
                  <c:v>Total</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Tables'!$AP$4:$AP$7</c:f>
              <c:strCache>
                <c:ptCount val="3"/>
                <c:pt idx="0">
                  <c:v>Supplier A</c:v>
                </c:pt>
                <c:pt idx="1">
                  <c:v>Supplier B</c:v>
                </c:pt>
                <c:pt idx="2">
                  <c:v>Supplier C</c:v>
                </c:pt>
              </c:strCache>
            </c:strRef>
          </c:cat>
          <c:val>
            <c:numRef>
              <c:f>'Pivot Tables'!$AQ$4:$AQ$7</c:f>
              <c:numCache>
                <c:formatCode>0.0</c:formatCode>
                <c:ptCount val="3"/>
                <c:pt idx="0">
                  <c:v>3.5384615384615383</c:v>
                </c:pt>
                <c:pt idx="1">
                  <c:v>6.2307692307692308</c:v>
                </c:pt>
                <c:pt idx="2">
                  <c:v>8.6666666666666661</c:v>
                </c:pt>
              </c:numCache>
            </c:numRef>
          </c:val>
          <c:extLst>
            <c:ext xmlns:c16="http://schemas.microsoft.com/office/drawing/2014/chart" uri="{C3380CC4-5D6E-409C-BE32-E72D297353CC}">
              <c16:uniqueId val="{00000000-70F0-C541-A40E-A6D3FB8915D1}"/>
            </c:ext>
          </c:extLst>
        </c:ser>
        <c:dLbls>
          <c:showLegendKey val="0"/>
          <c:showVal val="0"/>
          <c:showCatName val="0"/>
          <c:showSerName val="0"/>
          <c:showPercent val="0"/>
          <c:showBubbleSize val="0"/>
        </c:dLbls>
        <c:gapWidth val="150"/>
        <c:axId val="2068100223"/>
        <c:axId val="2068095743"/>
      </c:barChart>
      <c:catAx>
        <c:axId val="20681002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2068095743"/>
        <c:crosses val="autoZero"/>
        <c:auto val="1"/>
        <c:lblAlgn val="ctr"/>
        <c:lblOffset val="100"/>
        <c:noMultiLvlLbl val="0"/>
      </c:catAx>
      <c:valAx>
        <c:axId val="2068095743"/>
        <c:scaling>
          <c:orientation val="minMax"/>
        </c:scaling>
        <c:delete val="0"/>
        <c:axPos val="b"/>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81002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 Chain &amp; Demand Analytics_Dashboard.xlsx]Pivot Tables!PivotTable21</c:name>
    <c:fmtId val="1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sz="1400" b="1" i="0" u="none" strike="noStrike" baseline="0"/>
              <a:t>Product Performance: Revenue, Profit &amp; Sales Volume</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1"/>
          <c:order val="1"/>
          <c:tx>
            <c:strRef>
              <c:f>'Pivot Tables'!$I$3</c:f>
              <c:strCache>
                <c:ptCount val="1"/>
                <c:pt idx="0">
                  <c:v>Ttotal Revenue</c:v>
                </c:pt>
              </c:strCache>
            </c:strRef>
          </c:tx>
          <c:spPr>
            <a:solidFill>
              <a:schemeClr val="accent2">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Tables'!$G$4:$G$8</c:f>
              <c:strCache>
                <c:ptCount val="4"/>
                <c:pt idx="0">
                  <c:v>Battery</c:v>
                </c:pt>
                <c:pt idx="1">
                  <c:v>EV Charger</c:v>
                </c:pt>
                <c:pt idx="2">
                  <c:v>Heat Pump</c:v>
                </c:pt>
                <c:pt idx="3">
                  <c:v>Solar Panel</c:v>
                </c:pt>
              </c:strCache>
            </c:strRef>
          </c:cat>
          <c:val>
            <c:numRef>
              <c:f>'Pivot Tables'!$I$4:$I$8</c:f>
              <c:numCache>
                <c:formatCode>_(* #,##0_);_(* \(#,##0\);_(* "-"??_);_(@_)</c:formatCode>
                <c:ptCount val="4"/>
                <c:pt idx="0">
                  <c:v>402500</c:v>
                </c:pt>
                <c:pt idx="1">
                  <c:v>230000</c:v>
                </c:pt>
                <c:pt idx="2">
                  <c:v>420000</c:v>
                </c:pt>
                <c:pt idx="3">
                  <c:v>297000</c:v>
                </c:pt>
              </c:numCache>
            </c:numRef>
          </c:val>
          <c:extLst>
            <c:ext xmlns:c16="http://schemas.microsoft.com/office/drawing/2014/chart" uri="{C3380CC4-5D6E-409C-BE32-E72D297353CC}">
              <c16:uniqueId val="{00000000-353B-0D4D-B4F9-64C542D9760D}"/>
            </c:ext>
          </c:extLst>
        </c:ser>
        <c:ser>
          <c:idx val="2"/>
          <c:order val="2"/>
          <c:tx>
            <c:strRef>
              <c:f>'Pivot Tables'!$J$3</c:f>
              <c:strCache>
                <c:ptCount val="1"/>
                <c:pt idx="0">
                  <c:v>Total Profit</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Tables'!$G$4:$G$8</c:f>
              <c:strCache>
                <c:ptCount val="4"/>
                <c:pt idx="0">
                  <c:v>Battery</c:v>
                </c:pt>
                <c:pt idx="1">
                  <c:v>EV Charger</c:v>
                </c:pt>
                <c:pt idx="2">
                  <c:v>Heat Pump</c:v>
                </c:pt>
                <c:pt idx="3">
                  <c:v>Solar Panel</c:v>
                </c:pt>
              </c:strCache>
            </c:strRef>
          </c:cat>
          <c:val>
            <c:numRef>
              <c:f>'Pivot Tables'!$J$4:$J$8</c:f>
              <c:numCache>
                <c:formatCode>_(* #,##0_);_(* \(#,##0\);_(* "-"??_);_(@_)</c:formatCode>
                <c:ptCount val="4"/>
                <c:pt idx="0">
                  <c:v>120750</c:v>
                </c:pt>
                <c:pt idx="1">
                  <c:v>86250</c:v>
                </c:pt>
                <c:pt idx="2">
                  <c:v>120000</c:v>
                </c:pt>
                <c:pt idx="3">
                  <c:v>99000</c:v>
                </c:pt>
              </c:numCache>
            </c:numRef>
          </c:val>
          <c:extLst>
            <c:ext xmlns:c16="http://schemas.microsoft.com/office/drawing/2014/chart" uri="{C3380CC4-5D6E-409C-BE32-E72D297353CC}">
              <c16:uniqueId val="{00000001-353B-0D4D-B4F9-64C542D9760D}"/>
            </c:ext>
          </c:extLst>
        </c:ser>
        <c:dLbls>
          <c:showLegendKey val="0"/>
          <c:showVal val="0"/>
          <c:showCatName val="0"/>
          <c:showSerName val="0"/>
          <c:showPercent val="0"/>
          <c:showBubbleSize val="0"/>
        </c:dLbls>
        <c:gapWidth val="150"/>
        <c:axId val="2057504063"/>
        <c:axId val="2057507199"/>
      </c:barChart>
      <c:lineChart>
        <c:grouping val="standard"/>
        <c:varyColors val="0"/>
        <c:ser>
          <c:idx val="0"/>
          <c:order val="0"/>
          <c:tx>
            <c:strRef>
              <c:f>'Pivot Tables'!$H$3</c:f>
              <c:strCache>
                <c:ptCount val="1"/>
                <c:pt idx="0">
                  <c:v>Total Units_Sold</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Tables'!$G$4:$G$8</c:f>
              <c:strCache>
                <c:ptCount val="4"/>
                <c:pt idx="0">
                  <c:v>Battery</c:v>
                </c:pt>
                <c:pt idx="1">
                  <c:v>EV Charger</c:v>
                </c:pt>
                <c:pt idx="2">
                  <c:v>Heat Pump</c:v>
                </c:pt>
                <c:pt idx="3">
                  <c:v>Solar Panel</c:v>
                </c:pt>
              </c:strCache>
            </c:strRef>
          </c:cat>
          <c:val>
            <c:numRef>
              <c:f>'Pivot Tables'!$H$4:$H$8</c:f>
              <c:numCache>
                <c:formatCode>_(* #,##0_);_(* \(#,##0\);_(* "-"??_);_(@_)</c:formatCode>
                <c:ptCount val="4"/>
                <c:pt idx="0">
                  <c:v>805</c:v>
                </c:pt>
                <c:pt idx="1">
                  <c:v>575</c:v>
                </c:pt>
                <c:pt idx="2">
                  <c:v>600</c:v>
                </c:pt>
                <c:pt idx="3">
                  <c:v>990</c:v>
                </c:pt>
              </c:numCache>
            </c:numRef>
          </c:val>
          <c:smooth val="0"/>
          <c:extLst>
            <c:ext xmlns:c16="http://schemas.microsoft.com/office/drawing/2014/chart" uri="{C3380CC4-5D6E-409C-BE32-E72D297353CC}">
              <c16:uniqueId val="{00000002-353B-0D4D-B4F9-64C542D9760D}"/>
            </c:ext>
          </c:extLst>
        </c:ser>
        <c:dLbls>
          <c:showLegendKey val="0"/>
          <c:showVal val="0"/>
          <c:showCatName val="0"/>
          <c:showSerName val="0"/>
          <c:showPercent val="0"/>
          <c:showBubbleSize val="0"/>
        </c:dLbls>
        <c:marker val="1"/>
        <c:smooth val="0"/>
        <c:axId val="2066748671"/>
        <c:axId val="2071051135"/>
      </c:lineChart>
      <c:catAx>
        <c:axId val="20575040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2057507199"/>
        <c:crosses val="autoZero"/>
        <c:auto val="1"/>
        <c:lblAlgn val="ctr"/>
        <c:lblOffset val="100"/>
        <c:noMultiLvlLbl val="0"/>
      </c:catAx>
      <c:valAx>
        <c:axId val="2057507199"/>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7504063"/>
        <c:crosses val="autoZero"/>
        <c:crossBetween val="between"/>
      </c:valAx>
      <c:valAx>
        <c:axId val="2071051135"/>
        <c:scaling>
          <c:orientation val="minMax"/>
        </c:scaling>
        <c:delete val="0"/>
        <c:axPos val="r"/>
        <c:numFmt formatCode="_(* #,##0_);_(* \(#,##0\);_(*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6748671"/>
        <c:crosses val="max"/>
        <c:crossBetween val="between"/>
      </c:valAx>
      <c:catAx>
        <c:axId val="2066748671"/>
        <c:scaling>
          <c:orientation val="minMax"/>
        </c:scaling>
        <c:delete val="1"/>
        <c:axPos val="b"/>
        <c:numFmt formatCode="General" sourceLinked="1"/>
        <c:majorTickMark val="out"/>
        <c:minorTickMark val="none"/>
        <c:tickLblPos val="nextTo"/>
        <c:crossAx val="2071051135"/>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 Chain &amp; Demand Analytics_Dashboard.xlsx]Pivot Tables!PivotTable27</c:name>
    <c:fmtId val="8"/>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Inventory</a:t>
            </a:r>
            <a:r>
              <a:rPr lang="en-US" b="1" baseline="0"/>
              <a:t> Gap by Product</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Tables'!$AA$3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Tables'!$Z$4:$Z$8</c:f>
              <c:strCache>
                <c:ptCount val="4"/>
                <c:pt idx="0">
                  <c:v>Battery</c:v>
                </c:pt>
                <c:pt idx="1">
                  <c:v>EV Charger</c:v>
                </c:pt>
                <c:pt idx="2">
                  <c:v>Heat Pump</c:v>
                </c:pt>
                <c:pt idx="3">
                  <c:v>Solar Panel</c:v>
                </c:pt>
              </c:strCache>
            </c:strRef>
          </c:cat>
          <c:val>
            <c:numRef>
              <c:f>'Pivot Tables'!$AA$4:$AA$8</c:f>
              <c:numCache>
                <c:formatCode>General</c:formatCode>
                <c:ptCount val="4"/>
                <c:pt idx="0">
                  <c:v>141</c:v>
                </c:pt>
                <c:pt idx="1">
                  <c:v>100</c:v>
                </c:pt>
                <c:pt idx="2">
                  <c:v>100</c:v>
                </c:pt>
                <c:pt idx="3">
                  <c:v>155</c:v>
                </c:pt>
              </c:numCache>
            </c:numRef>
          </c:val>
          <c:extLst>
            <c:ext xmlns:c16="http://schemas.microsoft.com/office/drawing/2014/chart" uri="{C3380CC4-5D6E-409C-BE32-E72D297353CC}">
              <c16:uniqueId val="{00000000-5225-2D47-BC2B-856FE4DF2245}"/>
            </c:ext>
          </c:extLst>
        </c:ser>
        <c:dLbls>
          <c:showLegendKey val="0"/>
          <c:showVal val="0"/>
          <c:showCatName val="0"/>
          <c:showSerName val="0"/>
          <c:showPercent val="0"/>
          <c:showBubbleSize val="0"/>
        </c:dLbls>
        <c:gapWidth val="219"/>
        <c:overlap val="-27"/>
        <c:axId val="2064981887"/>
        <c:axId val="2064985023"/>
      </c:barChart>
      <c:catAx>
        <c:axId val="20649818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2064985023"/>
        <c:crosses val="autoZero"/>
        <c:auto val="1"/>
        <c:lblAlgn val="ctr"/>
        <c:lblOffset val="100"/>
        <c:noMultiLvlLbl val="0"/>
      </c:catAx>
      <c:valAx>
        <c:axId val="20649850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49818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38099</xdr:colOff>
      <xdr:row>0</xdr:row>
      <xdr:rowOff>38100</xdr:rowOff>
    </xdr:from>
    <xdr:to>
      <xdr:col>10</xdr:col>
      <xdr:colOff>804332</xdr:colOff>
      <xdr:row>4</xdr:row>
      <xdr:rowOff>0</xdr:rowOff>
    </xdr:to>
    <xdr:sp macro="" textlink="">
      <xdr:nvSpPr>
        <xdr:cNvPr id="2" name="Rounded Rectangle 1">
          <a:extLst>
            <a:ext uri="{FF2B5EF4-FFF2-40B4-BE49-F238E27FC236}">
              <a16:creationId xmlns:a16="http://schemas.microsoft.com/office/drawing/2014/main" id="{BB12CD61-DCE0-3565-5E73-745C0121BDD4}"/>
            </a:ext>
          </a:extLst>
        </xdr:cNvPr>
        <xdr:cNvSpPr/>
      </xdr:nvSpPr>
      <xdr:spPr>
        <a:xfrm>
          <a:off x="38099" y="38100"/>
          <a:ext cx="9091789" cy="752122"/>
        </a:xfrm>
        <a:prstGeom prst="roundRect">
          <a:avLst>
            <a:gd name="adj" fmla="val 1413"/>
          </a:avLst>
        </a:prstGeom>
      </xdr:spPr>
      <xdr:style>
        <a:lnRef idx="3">
          <a:schemeClr val="lt1"/>
        </a:lnRef>
        <a:fillRef idx="1">
          <a:schemeClr val="accent1"/>
        </a:fillRef>
        <a:effectRef idx="1">
          <a:schemeClr val="accent1"/>
        </a:effectRef>
        <a:fontRef idx="minor">
          <a:schemeClr val="lt1"/>
        </a:fontRef>
      </xdr:style>
      <xdr:txBody>
        <a:bodyPr vertOverflow="clip" horzOverflow="clip" rtlCol="0" anchor="ctr"/>
        <a:lstStyle/>
        <a:p>
          <a:pPr algn="ctr"/>
          <a:r>
            <a:rPr lang="en-US" sz="2400" b="1"/>
            <a:t>Supply Chain &amp; Demand Analytics Dashboard</a:t>
          </a:r>
        </a:p>
      </xdr:txBody>
    </xdr:sp>
    <xdr:clientData/>
  </xdr:twoCellAnchor>
  <xdr:twoCellAnchor>
    <xdr:from>
      <xdr:col>0</xdr:col>
      <xdr:colOff>38100</xdr:colOff>
      <xdr:row>4</xdr:row>
      <xdr:rowOff>12700</xdr:rowOff>
    </xdr:from>
    <xdr:to>
      <xdr:col>2</xdr:col>
      <xdr:colOff>743317</xdr:colOff>
      <xdr:row>7</xdr:row>
      <xdr:rowOff>177800</xdr:rowOff>
    </xdr:to>
    <xdr:sp macro="" textlink="'Pivot Tables'!B5">
      <xdr:nvSpPr>
        <xdr:cNvPr id="3" name="Rectangle 2">
          <a:extLst>
            <a:ext uri="{FF2B5EF4-FFF2-40B4-BE49-F238E27FC236}">
              <a16:creationId xmlns:a16="http://schemas.microsoft.com/office/drawing/2014/main" id="{D0102710-3746-9D42-EF37-3F495318EF6F}"/>
            </a:ext>
          </a:extLst>
        </xdr:cNvPr>
        <xdr:cNvSpPr/>
      </xdr:nvSpPr>
      <xdr:spPr>
        <a:xfrm>
          <a:off x="38100" y="802922"/>
          <a:ext cx="2624328" cy="757767"/>
        </a:xfrm>
        <a:prstGeom prst="rect">
          <a:avLst/>
        </a:prstGeom>
        <a:solidFill>
          <a:schemeClr val="accent1">
            <a:lumMod val="20000"/>
            <a:lumOff val="8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r>
            <a:rPr lang="en-US" sz="1800" b="1" i="0" u="none" strike="noStrike">
              <a:solidFill>
                <a:sysClr val="windowText" lastClr="000000"/>
              </a:solidFill>
              <a:latin typeface="Aptos Narrow"/>
            </a:rPr>
            <a:t>Total Revenue </a:t>
          </a:r>
        </a:p>
        <a:p>
          <a:pPr algn="ctr"/>
          <a:r>
            <a:rPr lang="en-US" sz="1800" b="1" i="0" u="none" strike="noStrike">
              <a:solidFill>
                <a:sysClr val="windowText" lastClr="000000"/>
              </a:solidFill>
              <a:latin typeface="Aptos Narrow"/>
            </a:rPr>
            <a:t>€</a:t>
          </a:r>
          <a:fld id="{DF861AA0-C522-1C4A-BAEC-8A03FDD5A965}" type="TxLink">
            <a:rPr lang="en-US" sz="1800" b="1" i="0" u="none" strike="noStrike">
              <a:solidFill>
                <a:sysClr val="windowText" lastClr="000000"/>
              </a:solidFill>
              <a:latin typeface="Aptos Narrow"/>
            </a:rPr>
            <a:pPr algn="ctr"/>
            <a:t> 1,349,500.00 </a:t>
          </a:fld>
          <a:endParaRPr lang="en-US" sz="1800" b="1">
            <a:solidFill>
              <a:sysClr val="windowText" lastClr="000000"/>
            </a:solidFill>
          </a:endParaRPr>
        </a:p>
      </xdr:txBody>
    </xdr:sp>
    <xdr:clientData/>
  </xdr:twoCellAnchor>
  <xdr:twoCellAnchor>
    <xdr:from>
      <xdr:col>0</xdr:col>
      <xdr:colOff>35278</xdr:colOff>
      <xdr:row>31</xdr:row>
      <xdr:rowOff>81845</xdr:rowOff>
    </xdr:from>
    <xdr:to>
      <xdr:col>5</xdr:col>
      <xdr:colOff>444500</xdr:colOff>
      <xdr:row>44</xdr:row>
      <xdr:rowOff>183445</xdr:rowOff>
    </xdr:to>
    <xdr:graphicFrame macro="">
      <xdr:nvGraphicFramePr>
        <xdr:cNvPr id="4" name="Chart 3">
          <a:extLst>
            <a:ext uri="{FF2B5EF4-FFF2-40B4-BE49-F238E27FC236}">
              <a16:creationId xmlns:a16="http://schemas.microsoft.com/office/drawing/2014/main" id="{E5994B7B-2F1B-CB40-80E6-492C4DA7CA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21167</xdr:colOff>
      <xdr:row>45</xdr:row>
      <xdr:rowOff>11288</xdr:rowOff>
    </xdr:from>
    <xdr:to>
      <xdr:col>5</xdr:col>
      <xdr:colOff>430389</xdr:colOff>
      <xdr:row>58</xdr:row>
      <xdr:rowOff>155222</xdr:rowOff>
    </xdr:to>
    <xdr:graphicFrame macro="">
      <xdr:nvGraphicFramePr>
        <xdr:cNvPr id="5" name="Chart 4">
          <a:extLst>
            <a:ext uri="{FF2B5EF4-FFF2-40B4-BE49-F238E27FC236}">
              <a16:creationId xmlns:a16="http://schemas.microsoft.com/office/drawing/2014/main" id="{49B7E964-B98D-054D-B072-B868ACE040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471311</xdr:colOff>
      <xdr:row>31</xdr:row>
      <xdr:rowOff>81845</xdr:rowOff>
    </xdr:from>
    <xdr:to>
      <xdr:col>10</xdr:col>
      <xdr:colOff>789093</xdr:colOff>
      <xdr:row>44</xdr:row>
      <xdr:rowOff>183445</xdr:rowOff>
    </xdr:to>
    <xdr:graphicFrame macro="">
      <xdr:nvGraphicFramePr>
        <xdr:cNvPr id="6" name="Chart 5">
          <a:extLst>
            <a:ext uri="{FF2B5EF4-FFF2-40B4-BE49-F238E27FC236}">
              <a16:creationId xmlns:a16="http://schemas.microsoft.com/office/drawing/2014/main" id="{9E8E7783-49AA-4D4C-9CF6-C7B50AEDD7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28220</xdr:colOff>
      <xdr:row>7</xdr:row>
      <xdr:rowOff>196143</xdr:rowOff>
    </xdr:from>
    <xdr:to>
      <xdr:col>5</xdr:col>
      <xdr:colOff>808282</xdr:colOff>
      <xdr:row>11</xdr:row>
      <xdr:rowOff>197554</xdr:rowOff>
    </xdr:to>
    <mc:AlternateContent xmlns:mc="http://schemas.openxmlformats.org/markup-compatibility/2006" xmlns:a14="http://schemas.microsoft.com/office/drawing/2010/main">
      <mc:Choice Requires="a14">
        <xdr:graphicFrame macro="">
          <xdr:nvGraphicFramePr>
            <xdr:cNvPr id="7" name="Product_Type">
              <a:extLst>
                <a:ext uri="{FF2B5EF4-FFF2-40B4-BE49-F238E27FC236}">
                  <a16:creationId xmlns:a16="http://schemas.microsoft.com/office/drawing/2014/main" id="{17E55106-26EE-1D46-BBC9-933AC38934C9}"/>
                </a:ext>
              </a:extLst>
            </xdr:cNvPr>
            <xdr:cNvGraphicFramePr/>
          </xdr:nvGraphicFramePr>
          <xdr:xfrm>
            <a:off x="0" y="0"/>
            <a:ext cx="0" cy="0"/>
          </xdr:xfrm>
          <a:graphic>
            <a:graphicData uri="http://schemas.microsoft.com/office/drawing/2010/slicer">
              <sle:slicer xmlns:sle="http://schemas.microsoft.com/office/drawing/2010/slicer" name="Product_Type"/>
            </a:graphicData>
          </a:graphic>
        </xdr:graphicFrame>
      </mc:Choice>
      <mc:Fallback xmlns="">
        <xdr:sp macro="" textlink="">
          <xdr:nvSpPr>
            <xdr:cNvPr id="0" name=""/>
            <xdr:cNvSpPr>
              <a:spLocks noTextEdit="1"/>
            </xdr:cNvSpPr>
          </xdr:nvSpPr>
          <xdr:spPr>
            <a:xfrm>
              <a:off x="28220" y="1579032"/>
              <a:ext cx="5577840" cy="79163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818444</xdr:colOff>
      <xdr:row>7</xdr:row>
      <xdr:rowOff>196143</xdr:rowOff>
    </xdr:from>
    <xdr:to>
      <xdr:col>10</xdr:col>
      <xdr:colOff>775546</xdr:colOff>
      <xdr:row>11</xdr:row>
      <xdr:rowOff>197555</xdr:rowOff>
    </xdr:to>
    <mc:AlternateContent xmlns:mc="http://schemas.openxmlformats.org/markup-compatibility/2006" xmlns:a14="http://schemas.microsoft.com/office/drawing/2010/main">
      <mc:Choice Requires="a14">
        <xdr:graphicFrame macro="">
          <xdr:nvGraphicFramePr>
            <xdr:cNvPr id="8" name="Supplier">
              <a:extLst>
                <a:ext uri="{FF2B5EF4-FFF2-40B4-BE49-F238E27FC236}">
                  <a16:creationId xmlns:a16="http://schemas.microsoft.com/office/drawing/2014/main" id="{5A0453E0-272D-DF4E-919C-2ACCDF674CE6}"/>
                </a:ext>
              </a:extLst>
            </xdr:cNvPr>
            <xdr:cNvGraphicFramePr/>
          </xdr:nvGraphicFramePr>
          <xdr:xfrm>
            <a:off x="0" y="0"/>
            <a:ext cx="0" cy="0"/>
          </xdr:xfrm>
          <a:graphic>
            <a:graphicData uri="http://schemas.microsoft.com/office/drawing/2010/slicer">
              <sle:slicer xmlns:sle="http://schemas.microsoft.com/office/drawing/2010/slicer" name="Supplier"/>
            </a:graphicData>
          </a:graphic>
        </xdr:graphicFrame>
      </mc:Choice>
      <mc:Fallback xmlns="">
        <xdr:sp macro="" textlink="">
          <xdr:nvSpPr>
            <xdr:cNvPr id="0" name=""/>
            <xdr:cNvSpPr>
              <a:spLocks noTextEdit="1"/>
            </xdr:cNvSpPr>
          </xdr:nvSpPr>
          <xdr:spPr>
            <a:xfrm>
              <a:off x="5616222" y="1579032"/>
              <a:ext cx="4754880" cy="79163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28222</xdr:colOff>
      <xdr:row>12</xdr:row>
      <xdr:rowOff>69145</xdr:rowOff>
    </xdr:from>
    <xdr:to>
      <xdr:col>10</xdr:col>
      <xdr:colOff>765386</xdr:colOff>
      <xdr:row>16</xdr:row>
      <xdr:rowOff>42333</xdr:rowOff>
    </xdr:to>
    <mc:AlternateContent xmlns:mc="http://schemas.openxmlformats.org/markup-compatibility/2006" xmlns:a14="http://schemas.microsoft.com/office/drawing/2010/main">
      <mc:Choice Requires="a14">
        <xdr:graphicFrame macro="">
          <xdr:nvGraphicFramePr>
            <xdr:cNvPr id="9" name="Warehouse_Location">
              <a:extLst>
                <a:ext uri="{FF2B5EF4-FFF2-40B4-BE49-F238E27FC236}">
                  <a16:creationId xmlns:a16="http://schemas.microsoft.com/office/drawing/2014/main" id="{5FC9572E-9D16-7A42-92BE-D87AC6B421B5}"/>
                </a:ext>
              </a:extLst>
            </xdr:cNvPr>
            <xdr:cNvGraphicFramePr/>
          </xdr:nvGraphicFramePr>
          <xdr:xfrm>
            <a:off x="0" y="0"/>
            <a:ext cx="0" cy="0"/>
          </xdr:xfrm>
          <a:graphic>
            <a:graphicData uri="http://schemas.microsoft.com/office/drawing/2010/slicer">
              <sle:slicer xmlns:sle="http://schemas.microsoft.com/office/drawing/2010/slicer" name="Warehouse_Location"/>
            </a:graphicData>
          </a:graphic>
        </xdr:graphicFrame>
      </mc:Choice>
      <mc:Fallback xmlns="">
        <xdr:sp macro="" textlink="">
          <xdr:nvSpPr>
            <xdr:cNvPr id="0" name=""/>
            <xdr:cNvSpPr>
              <a:spLocks noTextEdit="1"/>
            </xdr:cNvSpPr>
          </xdr:nvSpPr>
          <xdr:spPr>
            <a:xfrm>
              <a:off x="28222" y="2439812"/>
              <a:ext cx="10332720" cy="76341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33867</xdr:colOff>
      <xdr:row>16</xdr:row>
      <xdr:rowOff>69144</xdr:rowOff>
    </xdr:from>
    <xdr:to>
      <xdr:col>10</xdr:col>
      <xdr:colOff>776111</xdr:colOff>
      <xdr:row>31</xdr:row>
      <xdr:rowOff>56445</xdr:rowOff>
    </xdr:to>
    <xdr:graphicFrame macro="">
      <xdr:nvGraphicFramePr>
        <xdr:cNvPr id="10" name="Chart 9">
          <a:extLst>
            <a:ext uri="{FF2B5EF4-FFF2-40B4-BE49-F238E27FC236}">
              <a16:creationId xmlns:a16="http://schemas.microsoft.com/office/drawing/2014/main" id="{87441E40-A5CC-E24A-B6BD-AD1916512B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644879</xdr:colOff>
      <xdr:row>4</xdr:row>
      <xdr:rowOff>7055</xdr:rowOff>
    </xdr:from>
    <xdr:to>
      <xdr:col>5</xdr:col>
      <xdr:colOff>387492</xdr:colOff>
      <xdr:row>7</xdr:row>
      <xdr:rowOff>182484</xdr:rowOff>
    </xdr:to>
    <xdr:sp macro="" textlink="'Pivot Tables'!A5">
      <xdr:nvSpPr>
        <xdr:cNvPr id="11" name="Rectangle 10">
          <a:extLst>
            <a:ext uri="{FF2B5EF4-FFF2-40B4-BE49-F238E27FC236}">
              <a16:creationId xmlns:a16="http://schemas.microsoft.com/office/drawing/2014/main" id="{AE69402B-E915-8248-86F3-5F1871615B55}"/>
            </a:ext>
          </a:extLst>
        </xdr:cNvPr>
        <xdr:cNvSpPr/>
      </xdr:nvSpPr>
      <xdr:spPr>
        <a:xfrm>
          <a:off x="2563990" y="797277"/>
          <a:ext cx="2621280" cy="768096"/>
        </a:xfrm>
        <a:prstGeom prst="rect">
          <a:avLst/>
        </a:prstGeom>
        <a:solidFill>
          <a:schemeClr val="accent1">
            <a:lumMod val="20000"/>
            <a:lumOff val="80000"/>
          </a:schemeClr>
        </a:solidFill>
      </xdr:spPr>
      <xdr:style>
        <a:lnRef idx="3">
          <a:schemeClr val="lt1"/>
        </a:lnRef>
        <a:fillRef idx="1">
          <a:schemeClr val="accent4"/>
        </a:fillRef>
        <a:effectRef idx="1">
          <a:schemeClr val="accent4"/>
        </a:effectRef>
        <a:fontRef idx="minor">
          <a:schemeClr val="lt1"/>
        </a:fontRef>
      </xdr:style>
      <xdr:txBody>
        <a:bodyPr vertOverflow="clip" horzOverflow="clip" rtlCol="0" anchor="ctr"/>
        <a:lstStyle/>
        <a:p>
          <a:pPr algn="ctr"/>
          <a:r>
            <a:rPr lang="en-US" sz="1800" b="1" i="0" u="none" strike="noStrike">
              <a:solidFill>
                <a:sysClr val="windowText" lastClr="000000"/>
              </a:solidFill>
              <a:latin typeface="Aptos Narrow"/>
            </a:rPr>
            <a:t>Total Units</a:t>
          </a:r>
          <a:r>
            <a:rPr lang="en-US" sz="1800" b="1" i="0" u="none" strike="noStrike" baseline="0">
              <a:solidFill>
                <a:sysClr val="windowText" lastClr="000000"/>
              </a:solidFill>
              <a:latin typeface="Aptos Narrow"/>
            </a:rPr>
            <a:t> Sold</a:t>
          </a:r>
        </a:p>
        <a:p>
          <a:pPr algn="ctr"/>
          <a:fld id="{A93F87F7-99E0-8146-BDBE-9D9160F17318}" type="TxLink">
            <a:rPr lang="en-US" sz="1800" b="1" i="0" u="none" strike="noStrike">
              <a:solidFill>
                <a:sysClr val="windowText" lastClr="000000"/>
              </a:solidFill>
              <a:latin typeface="Aptos Narrow"/>
            </a:rPr>
            <a:pPr algn="ctr"/>
            <a:t> 2,970 </a:t>
          </a:fld>
          <a:endParaRPr lang="en-US" sz="1800" b="1">
            <a:solidFill>
              <a:sysClr val="windowText" lastClr="000000"/>
            </a:solidFill>
          </a:endParaRPr>
        </a:p>
      </xdr:txBody>
    </xdr:sp>
    <xdr:clientData/>
  </xdr:twoCellAnchor>
  <xdr:twoCellAnchor>
    <xdr:from>
      <xdr:col>5</xdr:col>
      <xdr:colOff>388055</xdr:colOff>
      <xdr:row>4</xdr:row>
      <xdr:rowOff>4233</xdr:rowOff>
    </xdr:from>
    <xdr:to>
      <xdr:col>8</xdr:col>
      <xdr:colOff>130669</xdr:colOff>
      <xdr:row>7</xdr:row>
      <xdr:rowOff>179662</xdr:rowOff>
    </xdr:to>
    <xdr:sp macro="" textlink="'Pivot Tables'!D5">
      <xdr:nvSpPr>
        <xdr:cNvPr id="12" name="Rectangle 11">
          <a:extLst>
            <a:ext uri="{FF2B5EF4-FFF2-40B4-BE49-F238E27FC236}">
              <a16:creationId xmlns:a16="http://schemas.microsoft.com/office/drawing/2014/main" id="{27527B2F-3C41-1B4E-96CD-8EFD9366FEAD}"/>
            </a:ext>
          </a:extLst>
        </xdr:cNvPr>
        <xdr:cNvSpPr/>
      </xdr:nvSpPr>
      <xdr:spPr>
        <a:xfrm>
          <a:off x="5185833" y="794455"/>
          <a:ext cx="2621280" cy="768096"/>
        </a:xfrm>
        <a:prstGeom prst="rect">
          <a:avLst/>
        </a:prstGeom>
        <a:solidFill>
          <a:schemeClr val="accent1">
            <a:lumMod val="20000"/>
            <a:lumOff val="80000"/>
          </a:schemeClr>
        </a:solidFill>
      </xdr:spPr>
      <xdr:style>
        <a:lnRef idx="3">
          <a:schemeClr val="lt1"/>
        </a:lnRef>
        <a:fillRef idx="1">
          <a:schemeClr val="accent4"/>
        </a:fillRef>
        <a:effectRef idx="1">
          <a:schemeClr val="accent4"/>
        </a:effectRef>
        <a:fontRef idx="minor">
          <a:schemeClr val="lt1"/>
        </a:fontRef>
      </xdr:style>
      <xdr:txBody>
        <a:bodyPr vertOverflow="clip" horzOverflow="clip" rtlCol="0" anchor="ctr"/>
        <a:lstStyle/>
        <a:p>
          <a:pPr algn="ctr"/>
          <a:r>
            <a:rPr lang="en-US" sz="1800" b="1" i="0" u="none" strike="noStrike">
              <a:solidFill>
                <a:sysClr val="windowText" lastClr="000000"/>
              </a:solidFill>
              <a:latin typeface="Aptos Narrow"/>
            </a:rPr>
            <a:t>Avg. Delivery Time</a:t>
          </a:r>
        </a:p>
        <a:p>
          <a:pPr algn="ctr"/>
          <a:fld id="{706A2636-2E95-054E-ADB4-58CF69BF39F2}" type="TxLink">
            <a:rPr lang="en-US" sz="1800" b="1" i="0" u="none" strike="noStrike">
              <a:solidFill>
                <a:sysClr val="windowText" lastClr="000000"/>
              </a:solidFill>
              <a:latin typeface="Aptos Narrow"/>
            </a:rPr>
            <a:pPr algn="ctr"/>
            <a:t>6.1</a:t>
          </a:fld>
          <a:r>
            <a:rPr lang="en-US" sz="1800" b="1" i="0" u="none" strike="noStrike">
              <a:solidFill>
                <a:sysClr val="windowText" lastClr="000000"/>
              </a:solidFill>
              <a:latin typeface="Aptos Narrow"/>
            </a:rPr>
            <a:t> Days</a:t>
          </a:r>
          <a:endParaRPr lang="en-US" sz="1800" b="1">
            <a:solidFill>
              <a:sysClr val="windowText" lastClr="000000"/>
            </a:solidFill>
          </a:endParaRPr>
        </a:p>
      </xdr:txBody>
    </xdr:sp>
    <xdr:clientData/>
  </xdr:twoCellAnchor>
  <xdr:twoCellAnchor>
    <xdr:from>
      <xdr:col>8</xdr:col>
      <xdr:colOff>88900</xdr:colOff>
      <xdr:row>4</xdr:row>
      <xdr:rowOff>15523</xdr:rowOff>
    </xdr:from>
    <xdr:to>
      <xdr:col>10</xdr:col>
      <xdr:colOff>794116</xdr:colOff>
      <xdr:row>7</xdr:row>
      <xdr:rowOff>180623</xdr:rowOff>
    </xdr:to>
    <xdr:sp macro="" textlink="'Pivot Tables'!E5">
      <xdr:nvSpPr>
        <xdr:cNvPr id="13" name="Rectangle 12">
          <a:extLst>
            <a:ext uri="{FF2B5EF4-FFF2-40B4-BE49-F238E27FC236}">
              <a16:creationId xmlns:a16="http://schemas.microsoft.com/office/drawing/2014/main" id="{32C31DFA-6C44-1A4E-8283-409943B43B41}"/>
            </a:ext>
          </a:extLst>
        </xdr:cNvPr>
        <xdr:cNvSpPr/>
      </xdr:nvSpPr>
      <xdr:spPr>
        <a:xfrm>
          <a:off x="7765344" y="805745"/>
          <a:ext cx="2624328" cy="757767"/>
        </a:xfrm>
        <a:prstGeom prst="rect">
          <a:avLst/>
        </a:prstGeom>
        <a:solidFill>
          <a:schemeClr val="accent1">
            <a:lumMod val="20000"/>
            <a:lumOff val="80000"/>
          </a:schemeClr>
        </a:solidFill>
      </xdr:spPr>
      <xdr:style>
        <a:lnRef idx="3">
          <a:schemeClr val="lt1"/>
        </a:lnRef>
        <a:fillRef idx="1">
          <a:schemeClr val="accent4"/>
        </a:fillRef>
        <a:effectRef idx="1">
          <a:schemeClr val="accent4"/>
        </a:effectRef>
        <a:fontRef idx="minor">
          <a:schemeClr val="lt1"/>
        </a:fontRef>
      </xdr:style>
      <xdr:txBody>
        <a:bodyPr vertOverflow="clip" horzOverflow="clip" rtlCol="0" anchor="ctr"/>
        <a:lstStyle/>
        <a:p>
          <a:pPr algn="ctr"/>
          <a:r>
            <a:rPr lang="en-US" sz="1800" b="1" i="0" u="none" strike="noStrike">
              <a:solidFill>
                <a:sysClr val="windowText" lastClr="000000"/>
              </a:solidFill>
              <a:latin typeface="Aptos Narrow"/>
            </a:rPr>
            <a:t>Profit margin</a:t>
          </a:r>
        </a:p>
        <a:p>
          <a:pPr algn="ctr"/>
          <a:fld id="{B9CC02AF-E6F4-2441-ADE8-5EF852E4B782}" type="TxLink">
            <a:rPr lang="en-US" sz="1800" b="1" i="0" u="none" strike="noStrike">
              <a:solidFill>
                <a:sysClr val="windowText" lastClr="000000"/>
              </a:solidFill>
              <a:latin typeface="Aptos Narrow"/>
            </a:rPr>
            <a:pPr algn="ctr"/>
            <a:t>31.57%</a:t>
          </a:fld>
          <a:endParaRPr lang="en-US" sz="1800" b="1">
            <a:solidFill>
              <a:sysClr val="windowText" lastClr="000000"/>
            </a:solidFill>
          </a:endParaRPr>
        </a:p>
      </xdr:txBody>
    </xdr:sp>
    <xdr:clientData/>
  </xdr:twoCellAnchor>
  <xdr:twoCellAnchor>
    <xdr:from>
      <xdr:col>0</xdr:col>
      <xdr:colOff>0</xdr:colOff>
      <xdr:row>58</xdr:row>
      <xdr:rowOff>169331</xdr:rowOff>
    </xdr:from>
    <xdr:to>
      <xdr:col>10</xdr:col>
      <xdr:colOff>782884</xdr:colOff>
      <xdr:row>84</xdr:row>
      <xdr:rowOff>14111</xdr:rowOff>
    </xdr:to>
    <xdr:sp macro="" textlink="">
      <xdr:nvSpPr>
        <xdr:cNvPr id="14" name="Rectangle 13">
          <a:extLst>
            <a:ext uri="{FF2B5EF4-FFF2-40B4-BE49-F238E27FC236}">
              <a16:creationId xmlns:a16="http://schemas.microsoft.com/office/drawing/2014/main" id="{0FA644FD-800B-4649-A64D-15DEE5668AF8}"/>
            </a:ext>
          </a:extLst>
        </xdr:cNvPr>
        <xdr:cNvSpPr/>
      </xdr:nvSpPr>
      <xdr:spPr>
        <a:xfrm>
          <a:off x="0" y="11627553"/>
          <a:ext cx="10378440" cy="4981225"/>
        </a:xfrm>
        <a:prstGeom prst="rect">
          <a:avLst/>
        </a:prstGeom>
      </xdr:spPr>
      <xdr:style>
        <a:lnRef idx="3">
          <a:schemeClr val="lt1"/>
        </a:lnRef>
        <a:fillRef idx="1">
          <a:schemeClr val="accent1"/>
        </a:fillRef>
        <a:effectRef idx="1">
          <a:schemeClr val="accent1"/>
        </a:effectRef>
        <a:fontRef idx="minor">
          <a:schemeClr val="lt1"/>
        </a:fontRef>
      </xdr:style>
      <xdr:txBody>
        <a:bodyPr vertOverflow="clip" horzOverflow="clip" rtlCol="0" anchor="t"/>
        <a:lstStyle/>
        <a:p>
          <a:r>
            <a:rPr lang="en-US" sz="1600" b="1">
              <a:latin typeface="Times New Roman" panose="02020603050405020304" pitchFamily="18" charset="0"/>
              <a:cs typeface="Times New Roman" panose="02020603050405020304" pitchFamily="18" charset="0"/>
            </a:rPr>
            <a:t>Key Business Insights &amp; Recommendations:</a:t>
          </a:r>
        </a:p>
        <a:p>
          <a:endParaRPr lang="en-US" sz="1400" b="1">
            <a:latin typeface="Times New Roman" panose="02020603050405020304" pitchFamily="18" charset="0"/>
            <a:cs typeface="Times New Roman" panose="02020603050405020304" pitchFamily="18" charset="0"/>
          </a:endParaRPr>
        </a:p>
        <a:p>
          <a:r>
            <a:rPr lang="en-US" sz="1400">
              <a:latin typeface="Times New Roman" panose="02020603050405020304" pitchFamily="18" charset="0"/>
              <a:cs typeface="Times New Roman" panose="02020603050405020304" pitchFamily="18" charset="0"/>
            </a:rPr>
            <a:t>•</a:t>
          </a:r>
          <a:r>
            <a:rPr lang="en-US" sz="1400" b="0">
              <a:latin typeface="Times New Roman" panose="02020603050405020304" pitchFamily="18" charset="0"/>
              <a:cs typeface="Times New Roman" panose="02020603050405020304" pitchFamily="18" charset="0"/>
            </a:rPr>
            <a:t> Heat Pumps generate the highest revenue (€420K</a:t>
          </a:r>
          <a:r>
            <a:rPr lang="en-US" sz="1400" b="1">
              <a:latin typeface="Times New Roman" panose="02020603050405020304" pitchFamily="18" charset="0"/>
              <a:cs typeface="Times New Roman" panose="02020603050405020304" pitchFamily="18" charset="0"/>
            </a:rPr>
            <a:t>)</a:t>
          </a:r>
          <a:r>
            <a:rPr lang="en-US" sz="1400">
              <a:latin typeface="Times New Roman" panose="02020603050405020304" pitchFamily="18" charset="0"/>
              <a:cs typeface="Times New Roman" panose="02020603050405020304" pitchFamily="18" charset="0"/>
            </a:rPr>
            <a:t> despite lower sales volume than Solar Panels, indicating a </a:t>
          </a:r>
          <a:r>
            <a:rPr lang="en-US" sz="1400" b="0">
              <a:latin typeface="Times New Roman" panose="02020603050405020304" pitchFamily="18" charset="0"/>
              <a:cs typeface="Times New Roman" panose="02020603050405020304" pitchFamily="18" charset="0"/>
            </a:rPr>
            <a:t>premium pricing advantage and strong value positioning. </a:t>
          </a:r>
        </a:p>
        <a:p>
          <a:endParaRPr lang="en-US" sz="1400" b="0">
            <a:latin typeface="Times New Roman" panose="02020603050405020304" pitchFamily="18" charset="0"/>
            <a:cs typeface="Times New Roman" panose="02020603050405020304" pitchFamily="18" charset="0"/>
          </a:endParaRPr>
        </a:p>
        <a:p>
          <a:r>
            <a:rPr lang="en-US" sz="1400">
              <a:latin typeface="Times New Roman" panose="02020603050405020304" pitchFamily="18" charset="0"/>
              <a:cs typeface="Times New Roman" panose="02020603050405020304" pitchFamily="18" charset="0"/>
            </a:rPr>
            <a:t>• </a:t>
          </a:r>
          <a:r>
            <a:rPr lang="en-US" sz="1400" b="0">
              <a:latin typeface="Times New Roman" panose="02020603050405020304" pitchFamily="18" charset="0"/>
              <a:cs typeface="Times New Roman" panose="02020603050405020304" pitchFamily="18" charset="0"/>
            </a:rPr>
            <a:t>Solar Panels record the highest sales volume (990 units</a:t>
          </a:r>
          <a:r>
            <a:rPr lang="en-US" sz="1400" b="1">
              <a:latin typeface="Times New Roman" panose="02020603050405020304" pitchFamily="18" charset="0"/>
              <a:cs typeface="Times New Roman" panose="02020603050405020304" pitchFamily="18" charset="0"/>
            </a:rPr>
            <a:t>)</a:t>
          </a:r>
          <a:r>
            <a:rPr lang="en-US" sz="1400">
              <a:latin typeface="Times New Roman" panose="02020603050405020304" pitchFamily="18" charset="0"/>
              <a:cs typeface="Times New Roman" panose="02020603050405020304" pitchFamily="18" charset="0"/>
            </a:rPr>
            <a:t>, making them the </a:t>
          </a:r>
          <a:r>
            <a:rPr lang="en-US" sz="1400" b="0">
              <a:latin typeface="Times New Roman" panose="02020603050405020304" pitchFamily="18" charset="0"/>
              <a:cs typeface="Times New Roman" panose="02020603050405020304" pitchFamily="18" charset="0"/>
            </a:rPr>
            <a:t>primary demand driver </a:t>
          </a:r>
          <a:r>
            <a:rPr lang="en-US" sz="1400">
              <a:latin typeface="Times New Roman" panose="02020603050405020304" pitchFamily="18" charset="0"/>
              <a:cs typeface="Times New Roman" panose="02020603050405020304" pitchFamily="18" charset="0"/>
            </a:rPr>
            <a:t>across product categories.</a:t>
          </a:r>
        </a:p>
        <a:p>
          <a:r>
            <a:rPr lang="en-US" sz="1400">
              <a:latin typeface="Times New Roman" panose="02020603050405020304" pitchFamily="18" charset="0"/>
              <a:cs typeface="Times New Roman" panose="02020603050405020304" pitchFamily="18" charset="0"/>
            </a:rPr>
            <a:t> </a:t>
          </a:r>
        </a:p>
        <a:p>
          <a:r>
            <a:rPr lang="en-US" sz="1400">
              <a:latin typeface="Times New Roman" panose="02020603050405020304" pitchFamily="18" charset="0"/>
              <a:cs typeface="Times New Roman" panose="02020603050405020304" pitchFamily="18" charset="0"/>
            </a:rPr>
            <a:t>• </a:t>
          </a:r>
          <a:r>
            <a:rPr lang="en-US" sz="1400" b="0">
              <a:latin typeface="Times New Roman" panose="02020603050405020304" pitchFamily="18" charset="0"/>
              <a:cs typeface="Times New Roman" panose="02020603050405020304" pitchFamily="18" charset="0"/>
            </a:rPr>
            <a:t>EV Chargers underperform across all key metrics</a:t>
          </a:r>
          <a:r>
            <a:rPr lang="en-US" sz="1400">
              <a:latin typeface="Times New Roman" panose="02020603050405020304" pitchFamily="18" charset="0"/>
              <a:cs typeface="Times New Roman" panose="02020603050405020304" pitchFamily="18" charset="0"/>
            </a:rPr>
            <a:t>, with the lowest revenue (€230K) and profit (€86K), suggesting a need for </a:t>
          </a:r>
          <a:r>
            <a:rPr lang="en-US" sz="1400" b="0">
              <a:latin typeface="Times New Roman" panose="02020603050405020304" pitchFamily="18" charset="0"/>
              <a:cs typeface="Times New Roman" panose="02020603050405020304" pitchFamily="18" charset="0"/>
            </a:rPr>
            <a:t>pricing review or demand stimulation strategies. </a:t>
          </a:r>
        </a:p>
        <a:p>
          <a:endParaRPr lang="en-US" sz="1400" b="0">
            <a:latin typeface="Times New Roman" panose="02020603050405020304" pitchFamily="18" charset="0"/>
            <a:cs typeface="Times New Roman" panose="02020603050405020304" pitchFamily="18" charset="0"/>
          </a:endParaRPr>
        </a:p>
        <a:p>
          <a:r>
            <a:rPr lang="en-US" sz="1400">
              <a:latin typeface="Times New Roman" panose="02020603050405020304" pitchFamily="18" charset="0"/>
              <a:cs typeface="Times New Roman" panose="02020603050405020304" pitchFamily="18" charset="0"/>
            </a:rPr>
            <a:t>• </a:t>
          </a:r>
          <a:r>
            <a:rPr lang="en-US" sz="1400" b="0">
              <a:latin typeface="Times New Roman" panose="02020603050405020304" pitchFamily="18" charset="0"/>
              <a:cs typeface="Times New Roman" panose="02020603050405020304" pitchFamily="18" charset="0"/>
            </a:rPr>
            <a:t>All product categories show positive inventory gaps</a:t>
          </a:r>
          <a:r>
            <a:rPr lang="en-US" sz="1400">
              <a:latin typeface="Times New Roman" panose="02020603050405020304" pitchFamily="18" charset="0"/>
              <a:cs typeface="Times New Roman" panose="02020603050405020304" pitchFamily="18" charset="0"/>
            </a:rPr>
            <a:t>, indicating </a:t>
          </a:r>
          <a:r>
            <a:rPr lang="en-US" sz="1400" b="0">
              <a:latin typeface="Times New Roman" panose="02020603050405020304" pitchFamily="18" charset="0"/>
              <a:cs typeface="Times New Roman" panose="02020603050405020304" pitchFamily="18" charset="0"/>
            </a:rPr>
            <a:t>consistent overstocking and</a:t>
          </a:r>
          <a:r>
            <a:rPr lang="en-US" sz="1400" b="1">
              <a:latin typeface="Times New Roman" panose="02020603050405020304" pitchFamily="18" charset="0"/>
              <a:cs typeface="Times New Roman" panose="02020603050405020304" pitchFamily="18" charset="0"/>
            </a:rPr>
            <a:t> </a:t>
          </a:r>
          <a:r>
            <a:rPr lang="en-US" sz="1400" b="0">
              <a:latin typeface="Times New Roman" panose="02020603050405020304" pitchFamily="18" charset="0"/>
              <a:cs typeface="Times New Roman" panose="02020603050405020304" pitchFamily="18" charset="0"/>
            </a:rPr>
            <a:t>potential inefficiencies in inventory planning</a:t>
          </a:r>
          <a:r>
            <a:rPr lang="en-US" sz="1400">
              <a:latin typeface="Times New Roman" panose="02020603050405020304" pitchFamily="18" charset="0"/>
              <a:cs typeface="Times New Roman" panose="02020603050405020304" pitchFamily="18" charset="0"/>
            </a:rPr>
            <a:t>. </a:t>
          </a:r>
        </a:p>
        <a:p>
          <a:endParaRPr lang="en-US" sz="1400">
            <a:latin typeface="Times New Roman" panose="02020603050405020304" pitchFamily="18" charset="0"/>
            <a:cs typeface="Times New Roman" panose="02020603050405020304" pitchFamily="18" charset="0"/>
          </a:endParaRPr>
        </a:p>
        <a:p>
          <a:r>
            <a:rPr lang="en-US" sz="1400">
              <a:latin typeface="Times New Roman" panose="02020603050405020304" pitchFamily="18" charset="0"/>
              <a:cs typeface="Times New Roman" panose="02020603050405020304" pitchFamily="18" charset="0"/>
            </a:rPr>
            <a:t>• </a:t>
          </a:r>
          <a:r>
            <a:rPr lang="en-US" sz="1400" b="0">
              <a:latin typeface="Times New Roman" panose="02020603050405020304" pitchFamily="18" charset="0"/>
              <a:cs typeface="Times New Roman" panose="02020603050405020304" pitchFamily="18" charset="0"/>
            </a:rPr>
            <a:t>Supplier A delivers the highest volume (1,396 units)</a:t>
          </a:r>
          <a:r>
            <a:rPr lang="en-US" sz="1400">
              <a:latin typeface="Times New Roman" panose="02020603050405020304" pitchFamily="18" charset="0"/>
              <a:cs typeface="Times New Roman" panose="02020603050405020304" pitchFamily="18" charset="0"/>
            </a:rPr>
            <a:t>, making it the </a:t>
          </a:r>
          <a:r>
            <a:rPr lang="en-US" sz="1400" b="0">
              <a:latin typeface="Times New Roman" panose="02020603050405020304" pitchFamily="18" charset="0"/>
              <a:cs typeface="Times New Roman" panose="02020603050405020304" pitchFamily="18" charset="0"/>
            </a:rPr>
            <a:t>most reliable supplier for meeting demand capacity</a:t>
          </a:r>
          <a:r>
            <a:rPr lang="en-US" sz="1400">
              <a:latin typeface="Times New Roman" panose="02020603050405020304" pitchFamily="18" charset="0"/>
              <a:cs typeface="Times New Roman" panose="02020603050405020304" pitchFamily="18" charset="0"/>
            </a:rPr>
            <a:t>. </a:t>
          </a:r>
        </a:p>
        <a:p>
          <a:endParaRPr lang="en-US" sz="1400">
            <a:latin typeface="Times New Roman" panose="02020603050405020304" pitchFamily="18" charset="0"/>
            <a:cs typeface="Times New Roman" panose="02020603050405020304" pitchFamily="18" charset="0"/>
          </a:endParaRPr>
        </a:p>
        <a:p>
          <a:r>
            <a:rPr lang="en-US" sz="1400">
              <a:latin typeface="Times New Roman" panose="02020603050405020304" pitchFamily="18" charset="0"/>
              <a:cs typeface="Times New Roman" panose="02020603050405020304" pitchFamily="18" charset="0"/>
            </a:rPr>
            <a:t>• </a:t>
          </a:r>
          <a:r>
            <a:rPr lang="en-US" sz="1400" b="0">
              <a:latin typeface="Times New Roman" panose="02020603050405020304" pitchFamily="18" charset="0"/>
              <a:cs typeface="Times New Roman" panose="02020603050405020304" pitchFamily="18" charset="0"/>
            </a:rPr>
            <a:t>Supplier C has the longest delivery time (8.7 days</a:t>
          </a:r>
          <a:r>
            <a:rPr lang="en-US" sz="1400" b="1">
              <a:latin typeface="Times New Roman" panose="02020603050405020304" pitchFamily="18" charset="0"/>
              <a:cs typeface="Times New Roman" panose="02020603050405020304" pitchFamily="18" charset="0"/>
            </a:rPr>
            <a:t>)</a:t>
          </a:r>
          <a:r>
            <a:rPr lang="en-US" sz="1400">
              <a:latin typeface="Times New Roman" panose="02020603050405020304" pitchFamily="18" charset="0"/>
              <a:cs typeface="Times New Roman" panose="02020603050405020304" pitchFamily="18" charset="0"/>
            </a:rPr>
            <a:t>, representing a </a:t>
          </a:r>
          <a:r>
            <a:rPr lang="en-US" sz="1400" b="0">
              <a:latin typeface="Times New Roman" panose="02020603050405020304" pitchFamily="18" charset="0"/>
              <a:cs typeface="Times New Roman" panose="02020603050405020304" pitchFamily="18" charset="0"/>
            </a:rPr>
            <a:t>high operational risk and potential bottleneck in the supply chain. </a:t>
          </a:r>
        </a:p>
        <a:p>
          <a:endParaRPr lang="en-US" sz="1400" b="0">
            <a:latin typeface="Times New Roman" panose="02020603050405020304" pitchFamily="18" charset="0"/>
            <a:cs typeface="Times New Roman" panose="02020603050405020304" pitchFamily="18" charset="0"/>
          </a:endParaRPr>
        </a:p>
        <a:p>
          <a:r>
            <a:rPr lang="en-US" sz="1400">
              <a:latin typeface="Times New Roman" panose="02020603050405020304" pitchFamily="18" charset="0"/>
              <a:cs typeface="Times New Roman" panose="02020603050405020304" pitchFamily="18" charset="0"/>
            </a:rPr>
            <a:t>• The </a:t>
          </a:r>
          <a:r>
            <a:rPr lang="en-US" sz="1400" b="0">
              <a:latin typeface="Times New Roman" panose="02020603050405020304" pitchFamily="18" charset="0"/>
              <a:cs typeface="Times New Roman" panose="02020603050405020304" pitchFamily="18" charset="0"/>
            </a:rPr>
            <a:t>average delivery time of 6.1 days </a:t>
          </a:r>
          <a:r>
            <a:rPr lang="en-US" sz="1400">
              <a:latin typeface="Times New Roman" panose="02020603050405020304" pitchFamily="18" charset="0"/>
              <a:cs typeface="Times New Roman" panose="02020603050405020304" pitchFamily="18" charset="0"/>
            </a:rPr>
            <a:t>indicates </a:t>
          </a:r>
          <a:r>
            <a:rPr lang="en-US" sz="1400" b="0">
              <a:latin typeface="Times New Roman" panose="02020603050405020304" pitchFamily="18" charset="0"/>
              <a:cs typeface="Times New Roman" panose="02020603050405020304" pitchFamily="18" charset="0"/>
            </a:rPr>
            <a:t>moderate supply chain efficiency</a:t>
          </a:r>
          <a:r>
            <a:rPr lang="en-US" sz="1400">
              <a:latin typeface="Times New Roman" panose="02020603050405020304" pitchFamily="18" charset="0"/>
              <a:cs typeface="Times New Roman" panose="02020603050405020304" pitchFamily="18" charset="0"/>
            </a:rPr>
            <a:t>, with room for optimization. </a:t>
          </a:r>
        </a:p>
        <a:p>
          <a:endParaRPr lang="en-US" sz="1400">
            <a:latin typeface="Times New Roman" panose="02020603050405020304" pitchFamily="18" charset="0"/>
            <a:cs typeface="Times New Roman" panose="02020603050405020304" pitchFamily="18" charset="0"/>
          </a:endParaRPr>
        </a:p>
        <a:p>
          <a:r>
            <a:rPr lang="en-US" sz="1400">
              <a:latin typeface="Times New Roman" panose="02020603050405020304" pitchFamily="18" charset="0"/>
              <a:cs typeface="Times New Roman" panose="02020603050405020304" pitchFamily="18" charset="0"/>
            </a:rPr>
            <a:t>• The business maintains a </a:t>
          </a:r>
          <a:r>
            <a:rPr lang="en-US" sz="1400" b="0">
              <a:latin typeface="Times New Roman" panose="02020603050405020304" pitchFamily="18" charset="0"/>
              <a:cs typeface="Times New Roman" panose="02020603050405020304" pitchFamily="18" charset="0"/>
            </a:rPr>
            <a:t>strong overall profit margin of 31.57</a:t>
          </a:r>
          <a:r>
            <a:rPr lang="en-US" sz="1400" b="1">
              <a:latin typeface="Times New Roman" panose="02020603050405020304" pitchFamily="18" charset="0"/>
              <a:cs typeface="Times New Roman" panose="02020603050405020304" pitchFamily="18" charset="0"/>
            </a:rPr>
            <a:t>%</a:t>
          </a:r>
          <a:r>
            <a:rPr lang="en-US" sz="1400">
              <a:latin typeface="Times New Roman" panose="02020603050405020304" pitchFamily="18" charset="0"/>
              <a:cs typeface="Times New Roman" panose="02020603050405020304" pitchFamily="18" charset="0"/>
            </a:rPr>
            <a:t>, reflecting </a:t>
          </a:r>
          <a:r>
            <a:rPr lang="en-US" sz="1400" b="0">
              <a:latin typeface="Times New Roman" panose="02020603050405020304" pitchFamily="18" charset="0"/>
              <a:cs typeface="Times New Roman" panose="02020603050405020304" pitchFamily="18" charset="0"/>
            </a:rPr>
            <a:t>healthy profitability across product lines</a:t>
          </a:r>
          <a:r>
            <a:rPr lang="en-US" sz="1400">
              <a:latin typeface="Times New Roman" panose="02020603050405020304" pitchFamily="18" charset="0"/>
              <a:cs typeface="Times New Roman" panose="02020603050405020304" pitchFamily="18" charset="0"/>
            </a:rPr>
            <a:t>.</a:t>
          </a:r>
        </a:p>
        <a:p>
          <a:pPr algn="l"/>
          <a:endParaRPr lang="en-US" sz="1100"/>
        </a:p>
        <a:p>
          <a:pPr algn="l"/>
          <a:r>
            <a:rPr lang="en-US" sz="1400" b="1">
              <a:latin typeface="Times New Roman" panose="02020603050405020304" pitchFamily="18" charset="0"/>
              <a:cs typeface="Times New Roman" panose="02020603050405020304" pitchFamily="18" charset="0"/>
            </a:rPr>
            <a:t>Recommendation:</a:t>
          </a:r>
          <a:br>
            <a:rPr lang="en-US" sz="1400">
              <a:latin typeface="Times New Roman" panose="02020603050405020304" pitchFamily="18" charset="0"/>
              <a:cs typeface="Times New Roman" panose="02020603050405020304" pitchFamily="18" charset="0"/>
            </a:rPr>
          </a:br>
          <a:endParaRPr lang="en-US" sz="1400">
            <a:latin typeface="Times New Roman" panose="02020603050405020304" pitchFamily="18" charset="0"/>
            <a:cs typeface="Times New Roman" panose="02020603050405020304" pitchFamily="18" charset="0"/>
          </a:endParaRPr>
        </a:p>
        <a:p>
          <a:pPr algn="l"/>
          <a:r>
            <a:rPr lang="en-US" sz="1400">
              <a:latin typeface="Times New Roman" panose="02020603050405020304" pitchFamily="18" charset="0"/>
              <a:cs typeface="Times New Roman" panose="02020603050405020304" pitchFamily="18" charset="0"/>
            </a:rPr>
            <a:t>• Focus on </a:t>
          </a:r>
          <a:r>
            <a:rPr lang="en-US" sz="1400" b="0">
              <a:latin typeface="Times New Roman" panose="02020603050405020304" pitchFamily="18" charset="0"/>
              <a:cs typeface="Times New Roman" panose="02020603050405020304" pitchFamily="18" charset="0"/>
            </a:rPr>
            <a:t>optimizing inventory levels and improving Supplier C performance</a:t>
          </a:r>
          <a:r>
            <a:rPr lang="en-US" sz="1400">
              <a:latin typeface="Times New Roman" panose="02020603050405020304" pitchFamily="18" charset="0"/>
              <a:cs typeface="Times New Roman" panose="02020603050405020304" pitchFamily="18" charset="0"/>
            </a:rPr>
            <a:t>, while leveraging </a:t>
          </a:r>
          <a:r>
            <a:rPr lang="en-US" sz="1400" b="0">
              <a:latin typeface="Times New Roman" panose="02020603050405020304" pitchFamily="18" charset="0"/>
              <a:cs typeface="Times New Roman" panose="02020603050405020304" pitchFamily="18" charset="0"/>
            </a:rPr>
            <a:t>high-margin products like Heat Pumps</a:t>
          </a:r>
          <a:r>
            <a:rPr lang="en-US" sz="1400">
              <a:latin typeface="Times New Roman" panose="02020603050405020304" pitchFamily="18" charset="0"/>
              <a:cs typeface="Times New Roman" panose="02020603050405020304" pitchFamily="18" charset="0"/>
            </a:rPr>
            <a:t> to maximize profitability.</a:t>
          </a:r>
        </a:p>
        <a:p>
          <a:pPr algn="l"/>
          <a:endParaRPr lang="en-US" sz="1100"/>
        </a:p>
      </xdr:txBody>
    </xdr:sp>
    <xdr:clientData/>
  </xdr:twoCellAnchor>
  <xdr:twoCellAnchor>
    <xdr:from>
      <xdr:col>5</xdr:col>
      <xdr:colOff>465667</xdr:colOff>
      <xdr:row>45</xdr:row>
      <xdr:rowOff>28220</xdr:rowOff>
    </xdr:from>
    <xdr:to>
      <xdr:col>10</xdr:col>
      <xdr:colOff>783449</xdr:colOff>
      <xdr:row>58</xdr:row>
      <xdr:rowOff>148334</xdr:rowOff>
    </xdr:to>
    <xdr:graphicFrame macro="">
      <xdr:nvGraphicFramePr>
        <xdr:cNvPr id="15" name="Chart 14">
          <a:extLst>
            <a:ext uri="{FF2B5EF4-FFF2-40B4-BE49-F238E27FC236}">
              <a16:creationId xmlns:a16="http://schemas.microsoft.com/office/drawing/2014/main" id="{F665B23F-C4AE-AE4C-B6ED-5DDDEDD8F3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enrietta Mensah" refreshedDate="46116.447060069448" createdVersion="8" refreshedVersion="8" minRefreshableVersion="3" recordCount="38" xr:uid="{E9D9811B-B7B6-E743-9E47-DC6A4DFF9694}">
  <cacheSource type="worksheet">
    <worksheetSource name="Table1"/>
  </cacheSource>
  <cacheFields count="15">
    <cacheField name="Date" numFmtId="14">
      <sharedItems containsSemiMixedTypes="0" containsNonDate="0" containsDate="1" containsString="0" minDate="2024-01-01T00:00:00" maxDate="2024-02-08T00:00:00"/>
    </cacheField>
    <cacheField name="Product_Type" numFmtId="0">
      <sharedItems containsBlank="1" count="6">
        <s v="Solar Panel"/>
        <s v="Battery"/>
        <s v="Heat Pump"/>
        <s v="EV Charger"/>
        <m u="1"/>
        <s v="Product_Type" u="1"/>
      </sharedItems>
    </cacheField>
    <cacheField name="Supplier" numFmtId="0">
      <sharedItems containsBlank="1" count="5">
        <s v="Supplier A"/>
        <s v="Supplier B"/>
        <s v="Supplier C"/>
        <m u="1"/>
        <s v="Supplier" u="1"/>
      </sharedItems>
    </cacheField>
    <cacheField name="Warehouse_Location" numFmtId="0">
      <sharedItems containsBlank="1" count="6">
        <s v="Berlin"/>
        <s v="Hamburg"/>
        <s v="Munich"/>
        <s v="Frankfurt"/>
        <s v="Cologne"/>
        <m u="1"/>
      </sharedItems>
    </cacheField>
    <cacheField name="Inventory_Level" numFmtId="0">
      <sharedItems containsSemiMixedTypes="0" containsString="0" containsNumber="1" containsInteger="1" minValue="9" maxValue="30"/>
    </cacheField>
    <cacheField name="Units_Ordered" numFmtId="0">
      <sharedItems containsSemiMixedTypes="0" containsString="0" containsNumber="1" containsInteger="1" minValue="80" maxValue="140"/>
    </cacheField>
    <cacheField name="Units_Delivered" numFmtId="0">
      <sharedItems containsSemiMixedTypes="0" containsString="0" containsNumber="1" containsInteger="1" minValue="60" maxValue="135"/>
    </cacheField>
    <cacheField name="Delivery_Time" numFmtId="0">
      <sharedItems containsSemiMixedTypes="0" containsString="0" containsNumber="1" containsInteger="1" minValue="3" maxValue="9"/>
    </cacheField>
    <cacheField name="Units_Sold" numFmtId="0">
      <sharedItems containsSemiMixedTypes="0" containsString="0" containsNumber="1" containsInteger="1" minValue="50" maxValue="115"/>
    </cacheField>
    <cacheField name="Price_per_Unit" numFmtId="0">
      <sharedItems containsSemiMixedTypes="0" containsString="0" containsNumber="1" containsInteger="1" minValue="300" maxValue="700"/>
    </cacheField>
    <cacheField name="Revenue" numFmtId="0">
      <sharedItems containsSemiMixedTypes="0" containsString="0" containsNumber="1" containsInteger="1" minValue="22000" maxValue="56000"/>
    </cacheField>
    <cacheField name="Cost_per_Unit" numFmtId="0">
      <sharedItems containsSemiMixedTypes="0" containsString="0" containsNumber="1" containsInteger="1" minValue="200" maxValue="500"/>
    </cacheField>
    <cacheField name="Total_Cost" numFmtId="0">
      <sharedItems containsSemiMixedTypes="0" containsString="0" containsNumber="1" containsInteger="1" minValue="13750" maxValue="40000"/>
    </cacheField>
    <cacheField name="Inventory gap" numFmtId="0">
      <sharedItems containsSemiMixedTypes="0" containsString="0" containsNumber="1" containsInteger="1" minValue="5" maxValue="23"/>
    </cacheField>
    <cacheField name="Profit" numFmtId="0">
      <sharedItems containsSemiMixedTypes="0" containsString="0" containsNumber="1" containsInteger="1" minValue="8250" maxValue="16000"/>
    </cacheField>
  </cacheFields>
  <extLst>
    <ext xmlns:x14="http://schemas.microsoft.com/office/spreadsheetml/2009/9/main" uri="{725AE2AE-9491-48be-B2B4-4EB974FC3084}">
      <x14:pivotCacheDefinition pivotCacheId="187142753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8">
  <r>
    <d v="2024-01-01T00:00:00"/>
    <x v="0"/>
    <x v="0"/>
    <x v="0"/>
    <n v="30"/>
    <n v="120"/>
    <n v="115"/>
    <n v="4"/>
    <n v="95"/>
    <n v="300"/>
    <n v="28500"/>
    <n v="200"/>
    <n v="19000"/>
    <n v="20"/>
    <n v="9500"/>
  </r>
  <r>
    <d v="2024-01-02T00:00:00"/>
    <x v="1"/>
    <x v="1"/>
    <x v="1"/>
    <n v="20"/>
    <n v="100"/>
    <n v="85"/>
    <n v="7"/>
    <n v="75"/>
    <n v="500"/>
    <n v="37500"/>
    <n v="350"/>
    <n v="26250"/>
    <n v="10"/>
    <n v="11250"/>
  </r>
  <r>
    <d v="2024-01-03T00:00:00"/>
    <x v="2"/>
    <x v="2"/>
    <x v="2"/>
    <n v="10"/>
    <n v="80"/>
    <n v="60"/>
    <n v="9"/>
    <n v="55"/>
    <n v="700"/>
    <n v="38500"/>
    <n v="500"/>
    <n v="27500"/>
    <n v="5"/>
    <n v="11000"/>
  </r>
  <r>
    <d v="2024-01-04T00:00:00"/>
    <x v="3"/>
    <x v="0"/>
    <x v="3"/>
    <n v="25"/>
    <n v="90"/>
    <n v="88"/>
    <n v="3"/>
    <n v="70"/>
    <n v="400"/>
    <n v="28000"/>
    <n v="250"/>
    <n v="17500"/>
    <n v="18"/>
    <n v="10500"/>
  </r>
  <r>
    <d v="2024-01-05T00:00:00"/>
    <x v="0"/>
    <x v="1"/>
    <x v="4"/>
    <n v="18"/>
    <n v="130"/>
    <n v="110"/>
    <n v="6"/>
    <n v="95"/>
    <n v="300"/>
    <n v="28500"/>
    <n v="200"/>
    <n v="19000"/>
    <n v="15"/>
    <n v="9500"/>
  </r>
  <r>
    <d v="2024-01-06T00:00:00"/>
    <x v="1"/>
    <x v="2"/>
    <x v="0"/>
    <n v="12"/>
    <n v="110"/>
    <n v="85"/>
    <n v="8"/>
    <n v="70"/>
    <n v="500"/>
    <n v="35000"/>
    <n v="350"/>
    <n v="24500"/>
    <n v="15"/>
    <n v="10500"/>
  </r>
  <r>
    <d v="2024-01-07T00:00:00"/>
    <x v="2"/>
    <x v="0"/>
    <x v="1"/>
    <n v="15"/>
    <n v="95"/>
    <n v="92"/>
    <n v="4"/>
    <n v="80"/>
    <n v="700"/>
    <n v="56000"/>
    <n v="500"/>
    <n v="40000"/>
    <n v="12"/>
    <n v="16000"/>
  </r>
  <r>
    <d v="2024-01-08T00:00:00"/>
    <x v="3"/>
    <x v="1"/>
    <x v="2"/>
    <n v="16"/>
    <n v="85"/>
    <n v="70"/>
    <n v="6"/>
    <n v="60"/>
    <n v="400"/>
    <n v="24000"/>
    <n v="250"/>
    <n v="15000"/>
    <n v="10"/>
    <n v="9000"/>
  </r>
  <r>
    <d v="2024-01-09T00:00:00"/>
    <x v="0"/>
    <x v="2"/>
    <x v="3"/>
    <n v="10"/>
    <n v="140"/>
    <n v="105"/>
    <n v="9"/>
    <n v="95"/>
    <n v="300"/>
    <n v="28500"/>
    <n v="200"/>
    <n v="19000"/>
    <n v="10"/>
    <n v="9500"/>
  </r>
  <r>
    <d v="2024-01-10T00:00:00"/>
    <x v="1"/>
    <x v="0"/>
    <x v="4"/>
    <n v="20"/>
    <n v="105"/>
    <n v="100"/>
    <n v="4"/>
    <n v="85"/>
    <n v="500"/>
    <n v="42500"/>
    <n v="350"/>
    <n v="29750"/>
    <n v="15"/>
    <n v="12750"/>
  </r>
  <r>
    <d v="2024-01-11T00:00:00"/>
    <x v="2"/>
    <x v="1"/>
    <x v="0"/>
    <n v="14"/>
    <n v="90"/>
    <n v="75"/>
    <n v="6"/>
    <n v="65"/>
    <n v="700"/>
    <n v="45500"/>
    <n v="500"/>
    <n v="32500"/>
    <n v="10"/>
    <n v="13000"/>
  </r>
  <r>
    <d v="2024-01-12T00:00:00"/>
    <x v="3"/>
    <x v="2"/>
    <x v="1"/>
    <n v="12"/>
    <n v="88"/>
    <n v="65"/>
    <n v="8"/>
    <n v="55"/>
    <n v="400"/>
    <n v="22000"/>
    <n v="250"/>
    <n v="13750"/>
    <n v="10"/>
    <n v="8250"/>
  </r>
  <r>
    <d v="2024-01-13T00:00:00"/>
    <x v="0"/>
    <x v="0"/>
    <x v="2"/>
    <n v="28"/>
    <n v="135"/>
    <n v="130"/>
    <n v="3"/>
    <n v="110"/>
    <n v="300"/>
    <n v="33000"/>
    <n v="200"/>
    <n v="22000"/>
    <n v="20"/>
    <n v="11000"/>
  </r>
  <r>
    <d v="2024-01-14T00:00:00"/>
    <x v="1"/>
    <x v="1"/>
    <x v="3"/>
    <n v="16"/>
    <n v="115"/>
    <n v="95"/>
    <n v="6"/>
    <n v="80"/>
    <n v="500"/>
    <n v="40000"/>
    <n v="350"/>
    <n v="28000"/>
    <n v="15"/>
    <n v="12000"/>
  </r>
  <r>
    <d v="2024-01-15T00:00:00"/>
    <x v="2"/>
    <x v="2"/>
    <x v="4"/>
    <n v="9"/>
    <n v="85"/>
    <n v="60"/>
    <n v="9"/>
    <n v="50"/>
    <n v="700"/>
    <n v="35000"/>
    <n v="500"/>
    <n v="25000"/>
    <n v="10"/>
    <n v="10000"/>
  </r>
  <r>
    <d v="2024-01-16T00:00:00"/>
    <x v="3"/>
    <x v="0"/>
    <x v="0"/>
    <n v="22"/>
    <n v="92"/>
    <n v="90"/>
    <n v="3"/>
    <n v="75"/>
    <n v="400"/>
    <n v="30000"/>
    <n v="250"/>
    <n v="18750"/>
    <n v="15"/>
    <n v="11250"/>
  </r>
  <r>
    <d v="2024-01-17T00:00:00"/>
    <x v="0"/>
    <x v="1"/>
    <x v="1"/>
    <n v="18"/>
    <n v="128"/>
    <n v="110"/>
    <n v="6"/>
    <n v="95"/>
    <n v="300"/>
    <n v="28500"/>
    <n v="200"/>
    <n v="19000"/>
    <n v="15"/>
    <n v="9500"/>
  </r>
  <r>
    <d v="2024-01-18T00:00:00"/>
    <x v="1"/>
    <x v="2"/>
    <x v="2"/>
    <n v="10"/>
    <n v="108"/>
    <n v="80"/>
    <n v="8"/>
    <n v="70"/>
    <n v="500"/>
    <n v="35000"/>
    <n v="350"/>
    <n v="24500"/>
    <n v="10"/>
    <n v="10500"/>
  </r>
  <r>
    <d v="2024-01-19T00:00:00"/>
    <x v="2"/>
    <x v="0"/>
    <x v="3"/>
    <n v="14"/>
    <n v="92"/>
    <n v="90"/>
    <n v="4"/>
    <n v="75"/>
    <n v="700"/>
    <n v="52500"/>
    <n v="500"/>
    <n v="37500"/>
    <n v="15"/>
    <n v="15000"/>
  </r>
  <r>
    <d v="2024-01-20T00:00:00"/>
    <x v="3"/>
    <x v="1"/>
    <x v="4"/>
    <n v="17"/>
    <n v="87"/>
    <n v="70"/>
    <n v="6"/>
    <n v="60"/>
    <n v="400"/>
    <n v="24000"/>
    <n v="250"/>
    <n v="15000"/>
    <n v="10"/>
    <n v="9000"/>
  </r>
  <r>
    <d v="2024-01-21T00:00:00"/>
    <x v="0"/>
    <x v="2"/>
    <x v="0"/>
    <n v="12"/>
    <n v="130"/>
    <n v="95"/>
    <n v="9"/>
    <n v="85"/>
    <n v="300"/>
    <n v="25500"/>
    <n v="200"/>
    <n v="17000"/>
    <n v="10"/>
    <n v="8500"/>
  </r>
  <r>
    <d v="2024-01-22T00:00:00"/>
    <x v="1"/>
    <x v="0"/>
    <x v="1"/>
    <n v="24"/>
    <n v="110"/>
    <n v="108"/>
    <n v="4"/>
    <n v="90"/>
    <n v="500"/>
    <n v="45000"/>
    <n v="350"/>
    <n v="31500"/>
    <n v="18"/>
    <n v="13500"/>
  </r>
  <r>
    <d v="2024-01-23T00:00:00"/>
    <x v="2"/>
    <x v="1"/>
    <x v="2"/>
    <n v="13"/>
    <n v="95"/>
    <n v="80"/>
    <n v="6"/>
    <n v="70"/>
    <n v="700"/>
    <n v="49000"/>
    <n v="500"/>
    <n v="35000"/>
    <n v="10"/>
    <n v="14000"/>
  </r>
  <r>
    <d v="2024-01-24T00:00:00"/>
    <x v="3"/>
    <x v="2"/>
    <x v="3"/>
    <n v="11"/>
    <n v="85"/>
    <n v="60"/>
    <n v="9"/>
    <n v="55"/>
    <n v="400"/>
    <n v="22000"/>
    <n v="250"/>
    <n v="13750"/>
    <n v="5"/>
    <n v="8250"/>
  </r>
  <r>
    <d v="2024-01-25T00:00:00"/>
    <x v="0"/>
    <x v="0"/>
    <x v="4"/>
    <n v="30"/>
    <n v="140"/>
    <n v="135"/>
    <n v="3"/>
    <n v="115"/>
    <n v="300"/>
    <n v="34500"/>
    <n v="200"/>
    <n v="23000"/>
    <n v="20"/>
    <n v="11500"/>
  </r>
  <r>
    <d v="2024-01-26T00:00:00"/>
    <x v="1"/>
    <x v="1"/>
    <x v="0"/>
    <n v="18"/>
    <n v="120"/>
    <n v="100"/>
    <n v="7"/>
    <n v="85"/>
    <n v="500"/>
    <n v="42500"/>
    <n v="350"/>
    <n v="29750"/>
    <n v="15"/>
    <n v="12750"/>
  </r>
  <r>
    <d v="2024-01-27T00:00:00"/>
    <x v="2"/>
    <x v="2"/>
    <x v="1"/>
    <n v="10"/>
    <n v="90"/>
    <n v="65"/>
    <n v="9"/>
    <n v="55"/>
    <n v="700"/>
    <n v="38500"/>
    <n v="500"/>
    <n v="27500"/>
    <n v="10"/>
    <n v="11000"/>
  </r>
  <r>
    <d v="2024-01-28T00:00:00"/>
    <x v="3"/>
    <x v="0"/>
    <x v="2"/>
    <n v="20"/>
    <n v="100"/>
    <n v="97"/>
    <n v="3"/>
    <n v="80"/>
    <n v="400"/>
    <n v="32000"/>
    <n v="250"/>
    <n v="20000"/>
    <n v="17"/>
    <n v="12000"/>
  </r>
  <r>
    <d v="2024-01-29T00:00:00"/>
    <x v="0"/>
    <x v="1"/>
    <x v="3"/>
    <n v="17"/>
    <n v="135"/>
    <n v="115"/>
    <n v="6"/>
    <n v="100"/>
    <n v="300"/>
    <n v="30000"/>
    <n v="200"/>
    <n v="20000"/>
    <n v="15"/>
    <n v="10000"/>
  </r>
  <r>
    <d v="2024-01-30T00:00:00"/>
    <x v="1"/>
    <x v="2"/>
    <x v="4"/>
    <n v="12"/>
    <n v="115"/>
    <n v="85"/>
    <n v="8"/>
    <n v="75"/>
    <n v="500"/>
    <n v="37500"/>
    <n v="350"/>
    <n v="26250"/>
    <n v="10"/>
    <n v="11250"/>
  </r>
  <r>
    <d v="2024-01-31T00:00:00"/>
    <x v="2"/>
    <x v="0"/>
    <x v="0"/>
    <n v="16"/>
    <n v="100"/>
    <n v="98"/>
    <n v="4"/>
    <n v="80"/>
    <n v="700"/>
    <n v="56000"/>
    <n v="500"/>
    <n v="40000"/>
    <n v="18"/>
    <n v="16000"/>
  </r>
  <r>
    <d v="2024-02-01T00:00:00"/>
    <x v="3"/>
    <x v="1"/>
    <x v="1"/>
    <n v="15"/>
    <n v="90"/>
    <n v="75"/>
    <n v="6"/>
    <n v="65"/>
    <n v="400"/>
    <n v="26000"/>
    <n v="250"/>
    <n v="16250"/>
    <n v="10"/>
    <n v="9750"/>
  </r>
  <r>
    <d v="2024-02-02T00:00:00"/>
    <x v="0"/>
    <x v="2"/>
    <x v="2"/>
    <n v="11"/>
    <n v="130"/>
    <n v="95"/>
    <n v="9"/>
    <n v="85"/>
    <n v="300"/>
    <n v="25500"/>
    <n v="200"/>
    <n v="17000"/>
    <n v="10"/>
    <n v="8500"/>
  </r>
  <r>
    <d v="2024-02-03T00:00:00"/>
    <x v="1"/>
    <x v="0"/>
    <x v="3"/>
    <n v="22"/>
    <n v="120"/>
    <n v="118"/>
    <n v="4"/>
    <n v="95"/>
    <n v="500"/>
    <n v="47500"/>
    <n v="350"/>
    <n v="33250"/>
    <n v="23"/>
    <n v="14250"/>
  </r>
  <r>
    <d v="2024-02-04T00:00:00"/>
    <x v="2"/>
    <x v="1"/>
    <x v="4"/>
    <n v="14"/>
    <n v="95"/>
    <n v="80"/>
    <n v="6"/>
    <n v="70"/>
    <n v="700"/>
    <n v="49000"/>
    <n v="500"/>
    <n v="35000"/>
    <n v="10"/>
    <n v="14000"/>
  </r>
  <r>
    <d v="2024-02-05T00:00:00"/>
    <x v="3"/>
    <x v="2"/>
    <x v="0"/>
    <n v="10"/>
    <n v="85"/>
    <n v="60"/>
    <n v="9"/>
    <n v="55"/>
    <n v="400"/>
    <n v="22000"/>
    <n v="250"/>
    <n v="13750"/>
    <n v="5"/>
    <n v="8250"/>
  </r>
  <r>
    <d v="2024-02-06T00:00:00"/>
    <x v="0"/>
    <x v="0"/>
    <x v="1"/>
    <n v="28"/>
    <n v="140"/>
    <n v="135"/>
    <n v="3"/>
    <n v="115"/>
    <n v="300"/>
    <n v="34500"/>
    <n v="200"/>
    <n v="23000"/>
    <n v="20"/>
    <n v="11500"/>
  </r>
  <r>
    <d v="2024-02-07T00:00:00"/>
    <x v="1"/>
    <x v="1"/>
    <x v="2"/>
    <n v="16"/>
    <n v="110"/>
    <n v="90"/>
    <n v="7"/>
    <n v="80"/>
    <n v="500"/>
    <n v="40000"/>
    <n v="350"/>
    <n v="28000"/>
    <n v="10"/>
    <n v="12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917AA86-5DFA-174C-9F21-79D0A5D6E9E0}" name="PivotTable28" cacheId="55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3:D4" firstHeaderRow="0" firstDataRow="1" firstDataCol="0"/>
  <pivotFields count="15">
    <pivotField numFmtId="14" showAll="0"/>
    <pivotField showAll="0">
      <items count="7">
        <item x="1"/>
        <item x="3"/>
        <item x="2"/>
        <item x="0"/>
        <item h="1" m="1" x="5"/>
        <item h="1" m="1" x="4"/>
        <item t="default"/>
      </items>
    </pivotField>
    <pivotField showAll="0">
      <items count="6">
        <item h="1" m="1" x="4"/>
        <item x="0"/>
        <item x="1"/>
        <item x="2"/>
        <item h="1" m="1" x="3"/>
        <item t="default"/>
      </items>
    </pivotField>
    <pivotField showAll="0">
      <items count="7">
        <item x="0"/>
        <item x="4"/>
        <item x="3"/>
        <item x="1"/>
        <item x="2"/>
        <item h="1" m="1" x="5"/>
        <item t="default"/>
      </items>
    </pivotField>
    <pivotField showAll="0"/>
    <pivotField showAll="0"/>
    <pivotField showAll="0"/>
    <pivotField dataField="1" showAll="0"/>
    <pivotField dataField="1" showAll="0"/>
    <pivotField showAll="0"/>
    <pivotField dataField="1" showAll="0"/>
    <pivotField showAll="0"/>
    <pivotField showAll="0"/>
    <pivotField showAll="0"/>
    <pivotField dataField="1" showAll="0"/>
  </pivotFields>
  <rowItems count="1">
    <i/>
  </rowItems>
  <colFields count="1">
    <field x="-2"/>
  </colFields>
  <colItems count="4">
    <i>
      <x/>
    </i>
    <i i="1">
      <x v="1"/>
    </i>
    <i i="2">
      <x v="2"/>
    </i>
    <i i="3">
      <x v="3"/>
    </i>
  </colItems>
  <dataFields count="4">
    <dataField name="Sum of Units_Sold" fld="8" baseField="0" baseItem="0" numFmtId="164"/>
    <dataField name="Sum of Revenue" fld="10" baseField="0" baseItem="0" numFmtId="43"/>
    <dataField name="Sum of Profit" fld="14" baseField="0" baseItem="0" numFmtId="43"/>
    <dataField name="Average of Delivery_Time" fld="7" subtotal="average" baseField="0" baseItem="0" numFmtId="165"/>
  </dataFields>
  <formats count="3">
    <format dxfId="4">
      <pivotArea outline="0" collapsedLevelsAreSubtotals="1" fieldPosition="0">
        <references count="1">
          <reference field="4294967294" count="3" selected="0">
            <x v="0"/>
            <x v="1"/>
            <x v="2"/>
          </reference>
        </references>
      </pivotArea>
    </format>
    <format dxfId="3">
      <pivotArea outline="0" collapsedLevelsAreSubtotals="1" fieldPosition="0">
        <references count="1">
          <reference field="4294967294" count="1" selected="0">
            <x v="0"/>
          </reference>
        </references>
      </pivotArea>
    </format>
    <format dxfId="2">
      <pivotArea outline="0" collapsedLevelsAreSubtotals="1" fieldPosition="0">
        <references count="1">
          <reference field="4294967294" count="1" selected="0">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A3AFD2B-819B-8E40-98E9-42FC1D394CEF}" name="PivotTable25" cacheId="55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K3:AL7" firstHeaderRow="1" firstDataRow="1" firstDataCol="1"/>
  <pivotFields count="15">
    <pivotField numFmtId="14" showAll="0"/>
    <pivotField showAll="0">
      <items count="7">
        <item x="1"/>
        <item x="3"/>
        <item x="2"/>
        <item h="1" m="1" x="5"/>
        <item x="0"/>
        <item h="1" m="1" x="4"/>
        <item t="default"/>
      </items>
    </pivotField>
    <pivotField axis="axisRow" showAll="0">
      <items count="6">
        <item h="1" m="1" x="4"/>
        <item x="0"/>
        <item x="1"/>
        <item x="2"/>
        <item h="1" m="1" x="3"/>
        <item t="default"/>
      </items>
    </pivotField>
    <pivotField showAll="0">
      <items count="7">
        <item x="0"/>
        <item x="4"/>
        <item x="3"/>
        <item x="1"/>
        <item x="2"/>
        <item h="1" m="1" x="5"/>
        <item t="default"/>
      </items>
    </pivotField>
    <pivotField showAll="0"/>
    <pivotField showAll="0"/>
    <pivotField dataField="1" showAll="0"/>
    <pivotField showAll="0"/>
    <pivotField showAll="0"/>
    <pivotField showAll="0"/>
    <pivotField showAll="0"/>
    <pivotField showAll="0"/>
    <pivotField showAll="0"/>
    <pivotField showAll="0"/>
    <pivotField showAll="0"/>
  </pivotFields>
  <rowFields count="1">
    <field x="2"/>
  </rowFields>
  <rowItems count="4">
    <i>
      <x v="1"/>
    </i>
    <i>
      <x v="2"/>
    </i>
    <i>
      <x v="3"/>
    </i>
    <i t="grand">
      <x/>
    </i>
  </rowItems>
  <colItems count="1">
    <i/>
  </colItems>
  <dataFields count="1">
    <dataField name="Sum of Units_Delivered" fld="6" baseField="0" baseItem="0" numFmtId="164"/>
  </dataFields>
  <formats count="1">
    <format dxfId="5">
      <pivotArea outline="0" collapsedLevelsAreSubtotals="1" fieldPosition="0"/>
    </format>
  </formats>
  <chartFormats count="4">
    <chartFormat chart="1"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E3A5E51-607D-3746-958E-E54B87325222}" name="PivotTable22" cacheId="55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N3:Q7" firstHeaderRow="0" firstDataRow="1" firstDataCol="1"/>
  <pivotFields count="15">
    <pivotField numFmtId="14" showAll="0"/>
    <pivotField showAll="0">
      <items count="7">
        <item x="1"/>
        <item x="3"/>
        <item x="2"/>
        <item h="1" m="1" x="5"/>
        <item x="0"/>
        <item h="1" m="1" x="4"/>
        <item t="default"/>
      </items>
    </pivotField>
    <pivotField axis="axisRow" showAll="0">
      <items count="6">
        <item x="0"/>
        <item x="1"/>
        <item x="2"/>
        <item h="1" m="1" x="4"/>
        <item h="1" m="1" x="3"/>
        <item t="default"/>
      </items>
    </pivotField>
    <pivotField showAll="0">
      <items count="7">
        <item x="0"/>
        <item x="4"/>
        <item x="3"/>
        <item x="1"/>
        <item x="2"/>
        <item h="1" m="1" x="5"/>
        <item t="default"/>
      </items>
    </pivotField>
    <pivotField showAll="0"/>
    <pivotField dataField="1" showAll="0"/>
    <pivotField dataField="1" showAll="0"/>
    <pivotField dataField="1" showAll="0"/>
    <pivotField showAll="0"/>
    <pivotField showAll="0"/>
    <pivotField showAll="0"/>
    <pivotField showAll="0"/>
    <pivotField showAll="0"/>
    <pivotField showAll="0"/>
    <pivotField showAll="0"/>
  </pivotFields>
  <rowFields count="1">
    <field x="2"/>
  </rowFields>
  <rowItems count="4">
    <i>
      <x/>
    </i>
    <i>
      <x v="1"/>
    </i>
    <i>
      <x v="2"/>
    </i>
    <i t="grand">
      <x/>
    </i>
  </rowItems>
  <colFields count="1">
    <field x="-2"/>
  </colFields>
  <colItems count="3">
    <i>
      <x/>
    </i>
    <i i="1">
      <x v="1"/>
    </i>
    <i i="2">
      <x v="2"/>
    </i>
  </colItems>
  <dataFields count="3">
    <dataField name="Sum of Units_Ordered" fld="5" baseField="0" baseItem="0" numFmtId="164"/>
    <dataField name="Sum of Units_Delivered" fld="6" baseField="0" baseItem="0" numFmtId="164"/>
    <dataField name="Average of Delivery_Time" fld="7" subtotal="average" baseField="0" baseItem="0"/>
  </dataFields>
  <formats count="3">
    <format dxfId="8">
      <pivotArea collapsedLevelsAreSubtotals="1" fieldPosition="0">
        <references count="2">
          <reference field="4294967294" count="1" selected="0">
            <x v="2"/>
          </reference>
          <reference field="2" count="0"/>
        </references>
      </pivotArea>
    </format>
    <format dxfId="7">
      <pivotArea outline="0" collapsedLevelsAreSubtotals="1" fieldPosition="0">
        <references count="1">
          <reference field="4294967294" count="2" selected="0">
            <x v="0"/>
            <x v="1"/>
          </reference>
        </references>
      </pivotArea>
    </format>
    <format dxfId="6">
      <pivotArea field="2" grandRow="1" outline="0" collapsedLevelsAreSubtotals="1" axis="axisRow" fieldPosition="0">
        <references count="1">
          <reference field="4294967294"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6516364-73D8-5042-86AA-13161E1DC8BB}" name="PivotTable27" cacheId="55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Z3:AA8" firstHeaderRow="1" firstDataRow="1" firstDataCol="1"/>
  <pivotFields count="15">
    <pivotField numFmtId="14" showAll="0"/>
    <pivotField axis="axisRow" showAll="0">
      <items count="7">
        <item x="1"/>
        <item x="3"/>
        <item x="2"/>
        <item x="0"/>
        <item h="1" m="1" x="5"/>
        <item h="1" m="1" x="4"/>
        <item t="default"/>
      </items>
    </pivotField>
    <pivotField showAll="0">
      <items count="6">
        <item h="1" m="1" x="4"/>
        <item x="0"/>
        <item x="1"/>
        <item x="2"/>
        <item h="1" m="1" x="3"/>
        <item t="default"/>
      </items>
    </pivotField>
    <pivotField showAll="0">
      <items count="7">
        <item x="0"/>
        <item x="4"/>
        <item x="3"/>
        <item x="1"/>
        <item x="2"/>
        <item h="1" m="1" x="5"/>
        <item t="default"/>
      </items>
    </pivotField>
    <pivotField showAll="0"/>
    <pivotField showAll="0"/>
    <pivotField showAll="0"/>
    <pivotField showAll="0"/>
    <pivotField showAll="0"/>
    <pivotField showAll="0"/>
    <pivotField showAll="0"/>
    <pivotField showAll="0"/>
    <pivotField showAll="0"/>
    <pivotField dataField="1" showAll="0"/>
    <pivotField showAll="0"/>
  </pivotFields>
  <rowFields count="1">
    <field x="1"/>
  </rowFields>
  <rowItems count="5">
    <i>
      <x/>
    </i>
    <i>
      <x v="1"/>
    </i>
    <i>
      <x v="2"/>
    </i>
    <i>
      <x v="3"/>
    </i>
    <i t="grand">
      <x/>
    </i>
  </rowItems>
  <colItems count="1">
    <i/>
  </colItems>
  <dataFields count="1">
    <dataField name="Sum of Inventory gap" fld="13" baseField="0" baseItem="0"/>
  </dataFields>
  <chartFormats count="1">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2C5B207-989F-E348-9C71-05B3307663E8}" name="PivotTable24" cacheId="55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E3:AG7" firstHeaderRow="0" firstDataRow="1" firstDataCol="1"/>
  <pivotFields count="15">
    <pivotField numFmtId="14" showAll="0"/>
    <pivotField showAll="0">
      <items count="7">
        <item x="1"/>
        <item x="3"/>
        <item x="2"/>
        <item h="1" m="1" x="5"/>
        <item x="0"/>
        <item h="1" m="1" x="4"/>
        <item t="default"/>
      </items>
    </pivotField>
    <pivotField axis="axisRow" showAll="0">
      <items count="6">
        <item h="1" m="1" x="4"/>
        <item x="0"/>
        <item x="1"/>
        <item x="2"/>
        <item h="1" m="1" x="3"/>
        <item t="default"/>
      </items>
    </pivotField>
    <pivotField showAll="0">
      <items count="7">
        <item x="0"/>
        <item x="4"/>
        <item x="3"/>
        <item x="1"/>
        <item x="2"/>
        <item h="1" m="1" x="5"/>
        <item t="default"/>
      </items>
    </pivotField>
    <pivotField showAll="0"/>
    <pivotField showAll="0"/>
    <pivotField dataField="1" showAll="0"/>
    <pivotField dataField="1" showAll="0"/>
    <pivotField showAll="0"/>
    <pivotField showAll="0"/>
    <pivotField showAll="0"/>
    <pivotField showAll="0"/>
    <pivotField showAll="0"/>
    <pivotField showAll="0"/>
    <pivotField showAll="0"/>
  </pivotFields>
  <rowFields count="1">
    <field x="2"/>
  </rowFields>
  <rowItems count="4">
    <i>
      <x v="1"/>
    </i>
    <i>
      <x v="2"/>
    </i>
    <i>
      <x v="3"/>
    </i>
    <i t="grand">
      <x/>
    </i>
  </rowItems>
  <colFields count="1">
    <field x="-2"/>
  </colFields>
  <colItems count="2">
    <i>
      <x/>
    </i>
    <i i="1">
      <x v="1"/>
    </i>
  </colItems>
  <dataFields count="2">
    <dataField name="Sum of Units_Delivered" fld="6" baseField="0" baseItem="0"/>
    <dataField name="Average of Delivery_Time" fld="7" subtotal="average" baseField="0" baseItem="0" numFmtId="165"/>
  </dataFields>
  <formats count="1">
    <format dxfId="9">
      <pivotArea outline="0" collapsedLevelsAreSubtotals="1"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D218EBC-B439-A64E-8499-058A86416CF1}" name="PivotTable21" cacheId="55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G3:J8" firstHeaderRow="0" firstDataRow="1" firstDataCol="1"/>
  <pivotFields count="15">
    <pivotField numFmtId="14" showAll="0"/>
    <pivotField axis="axisRow" showAll="0">
      <items count="7">
        <item x="1"/>
        <item x="3"/>
        <item x="2"/>
        <item x="0"/>
        <item h="1" m="1" x="5"/>
        <item h="1" m="1" x="4"/>
        <item t="default"/>
      </items>
    </pivotField>
    <pivotField showAll="0">
      <items count="6">
        <item h="1" m="1" x="4"/>
        <item x="0"/>
        <item x="1"/>
        <item x="2"/>
        <item h="1" m="1" x="3"/>
        <item t="default"/>
      </items>
    </pivotField>
    <pivotField showAll="0">
      <items count="7">
        <item x="0"/>
        <item x="4"/>
        <item x="3"/>
        <item x="1"/>
        <item x="2"/>
        <item h="1" m="1" x="5"/>
        <item t="default"/>
      </items>
    </pivotField>
    <pivotField showAll="0"/>
    <pivotField showAll="0"/>
    <pivotField showAll="0"/>
    <pivotField showAll="0"/>
    <pivotField dataField="1" showAll="0"/>
    <pivotField showAll="0"/>
    <pivotField dataField="1" showAll="0"/>
    <pivotField showAll="0"/>
    <pivotField showAll="0"/>
    <pivotField showAll="0"/>
    <pivotField dataField="1" showAll="0"/>
  </pivotFields>
  <rowFields count="1">
    <field x="1"/>
  </rowFields>
  <rowItems count="5">
    <i>
      <x/>
    </i>
    <i>
      <x v="1"/>
    </i>
    <i>
      <x v="2"/>
    </i>
    <i>
      <x v="3"/>
    </i>
    <i t="grand">
      <x/>
    </i>
  </rowItems>
  <colFields count="1">
    <field x="-2"/>
  </colFields>
  <colItems count="3">
    <i>
      <x/>
    </i>
    <i i="1">
      <x v="1"/>
    </i>
    <i i="2">
      <x v="2"/>
    </i>
  </colItems>
  <dataFields count="3">
    <dataField name="Total Units_Sold" fld="8" baseField="0" baseItem="0" numFmtId="164"/>
    <dataField name="Ttotal Revenue" fld="10" baseField="0" baseItem="0" numFmtId="164"/>
    <dataField name="Total Profit" fld="14" baseField="0" baseItem="0" numFmtId="164"/>
  </dataFields>
  <formats count="2">
    <format dxfId="11">
      <pivotArea outline="0" collapsedLevelsAreSubtotals="1" fieldPosition="0">
        <references count="1">
          <reference field="4294967294" count="1" selected="0">
            <x v="0"/>
          </reference>
        </references>
      </pivotArea>
    </format>
    <format dxfId="10">
      <pivotArea outline="0" collapsedLevelsAreSubtotals="1" fieldPosition="0">
        <references count="1">
          <reference field="4294967294" count="2" selected="0">
            <x v="1"/>
            <x v="2"/>
          </reference>
        </references>
      </pivotArea>
    </format>
  </formats>
  <chartFormats count="3">
    <chartFormat chart="14" format="6" series="1">
      <pivotArea type="data" outline="0" fieldPosition="0">
        <references count="1">
          <reference field="4294967294" count="1" selected="0">
            <x v="1"/>
          </reference>
        </references>
      </pivotArea>
    </chartFormat>
    <chartFormat chart="14" format="7" series="1">
      <pivotArea type="data" outline="0" fieldPosition="0">
        <references count="1">
          <reference field="4294967294" count="1" selected="0">
            <x v="2"/>
          </reference>
        </references>
      </pivotArea>
    </chartFormat>
    <chartFormat chart="14"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D2DC941-E6FC-BA46-8D33-5027B125886C}" name="PivotTable26" cacheId="55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P3:AQ7" firstHeaderRow="1" firstDataRow="1" firstDataCol="1"/>
  <pivotFields count="15">
    <pivotField numFmtId="14" showAll="0"/>
    <pivotField showAll="0">
      <items count="7">
        <item x="1"/>
        <item x="3"/>
        <item x="2"/>
        <item h="1" m="1" x="5"/>
        <item x="0"/>
        <item h="1" m="1" x="4"/>
        <item t="default"/>
      </items>
    </pivotField>
    <pivotField axis="axisRow" showAll="0">
      <items count="6">
        <item h="1" m="1" x="4"/>
        <item x="0"/>
        <item x="1"/>
        <item x="2"/>
        <item h="1" m="1" x="3"/>
        <item t="default"/>
      </items>
    </pivotField>
    <pivotField showAll="0">
      <items count="7">
        <item x="0"/>
        <item x="4"/>
        <item x="3"/>
        <item x="1"/>
        <item x="2"/>
        <item h="1" m="1" x="5"/>
        <item t="default"/>
      </items>
    </pivotField>
    <pivotField showAll="0"/>
    <pivotField showAll="0"/>
    <pivotField showAll="0"/>
    <pivotField dataField="1" showAll="0"/>
    <pivotField showAll="0"/>
    <pivotField showAll="0"/>
    <pivotField showAll="0"/>
    <pivotField showAll="0"/>
    <pivotField showAll="0"/>
    <pivotField showAll="0"/>
    <pivotField showAll="0"/>
  </pivotFields>
  <rowFields count="1">
    <field x="2"/>
  </rowFields>
  <rowItems count="4">
    <i>
      <x v="1"/>
    </i>
    <i>
      <x v="2"/>
    </i>
    <i>
      <x v="3"/>
    </i>
    <i t="grand">
      <x/>
    </i>
  </rowItems>
  <colItems count="1">
    <i/>
  </colItems>
  <dataFields count="1">
    <dataField name="Average of Delivery_Time" fld="7" subtotal="average" baseField="0" baseItem="0" numFmtId="165"/>
  </dataFields>
  <formats count="1">
    <format dxfId="12">
      <pivotArea outline="0" collapsedLevelsAreSubtotals="1" fieldPosition="0">
        <references count="1">
          <reference field="4294967294" count="1" selected="0">
            <x v="0"/>
          </reference>
        </references>
      </pivotArea>
    </format>
  </formats>
  <chartFormats count="4">
    <chartFormat chart="1" format="1"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877B9C5-DEC8-A048-988C-855E9E2CC62B}" name="PivotTable23" cacheId="55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U3:W8" firstHeaderRow="0" firstDataRow="1" firstDataCol="1"/>
  <pivotFields count="15">
    <pivotField numFmtId="14" showAll="0"/>
    <pivotField axis="axisRow" showAll="0">
      <items count="7">
        <item x="1"/>
        <item x="3"/>
        <item x="2"/>
        <item x="0"/>
        <item h="1" m="1" x="5"/>
        <item h="1" m="1" x="4"/>
        <item t="default"/>
      </items>
    </pivotField>
    <pivotField showAll="0">
      <items count="6">
        <item h="1" m="1" x="4"/>
        <item x="0"/>
        <item x="1"/>
        <item x="2"/>
        <item h="1" m="1" x="3"/>
        <item t="default"/>
      </items>
    </pivotField>
    <pivotField showAll="0">
      <items count="7">
        <item x="0"/>
        <item x="4"/>
        <item x="3"/>
        <item x="1"/>
        <item x="2"/>
        <item h="1" m="1" x="5"/>
        <item t="default"/>
      </items>
    </pivotField>
    <pivotField showAll="0"/>
    <pivotField showAll="0"/>
    <pivotField dataField="1" showAll="0"/>
    <pivotField showAll="0"/>
    <pivotField dataField="1" showAll="0"/>
    <pivotField showAll="0"/>
    <pivotField showAll="0"/>
    <pivotField showAll="0"/>
    <pivotField showAll="0"/>
    <pivotField showAll="0"/>
    <pivotField showAll="0"/>
  </pivotFields>
  <rowFields count="1">
    <field x="1"/>
  </rowFields>
  <rowItems count="5">
    <i>
      <x/>
    </i>
    <i>
      <x v="1"/>
    </i>
    <i>
      <x v="2"/>
    </i>
    <i>
      <x v="3"/>
    </i>
    <i t="grand">
      <x/>
    </i>
  </rowItems>
  <colFields count="1">
    <field x="-2"/>
  </colFields>
  <colItems count="2">
    <i>
      <x/>
    </i>
    <i i="1">
      <x v="1"/>
    </i>
  </colItems>
  <dataFields count="2">
    <dataField name="Total Units_Delivered" fld="6" baseField="0" baseItem="0"/>
    <dataField name="Total Units_Sold" fld="8" baseField="0" baseItem="0"/>
  </dataFields>
  <chartFormats count="2">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Type" xr10:uid="{E175215B-23F8-C144-90B6-95514EE64707}" sourceName="Product_Type">
  <pivotTables>
    <pivotTable tabId="2" name="PivotTable23"/>
    <pivotTable tabId="2" name="PivotTable27"/>
    <pivotTable tabId="2" name="PivotTable21"/>
    <pivotTable tabId="2" name="PivotTable22"/>
    <pivotTable tabId="2" name="PivotTable24"/>
    <pivotTable tabId="2" name="PivotTable25"/>
    <pivotTable tabId="2" name="PivotTable26"/>
    <pivotTable tabId="2" name="PivotTable28"/>
  </pivotTables>
  <data>
    <tabular pivotCacheId="1871427537">
      <items count="6">
        <i x="1" s="1"/>
        <i x="3" s="1"/>
        <i x="2" s="1"/>
        <i x="0" s="1"/>
        <i x="5" nd="1"/>
        <i x="4"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pplier" xr10:uid="{5C6E2E41-D048-1640-8D21-55D3FB5CA670}" sourceName="Supplier">
  <pivotTables>
    <pivotTable tabId="2" name="PivotTable23"/>
    <pivotTable tabId="2" name="PivotTable27"/>
    <pivotTable tabId="2" name="PivotTable21"/>
    <pivotTable tabId="2" name="PivotTable22"/>
    <pivotTable tabId="2" name="PivotTable24"/>
    <pivotTable tabId="2" name="PivotTable25"/>
    <pivotTable tabId="2" name="PivotTable26"/>
    <pivotTable tabId="2" name="PivotTable28"/>
  </pivotTables>
  <data>
    <tabular pivotCacheId="1871427537">
      <items count="5">
        <i x="0" s="1"/>
        <i x="1" s="1"/>
        <i x="2" s="1"/>
        <i x="4" nd="1"/>
        <i x="3"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arehouse_Location" xr10:uid="{210B918A-C72B-3541-8A61-7605B803EEEB}" sourceName="Warehouse_Location">
  <pivotTables>
    <pivotTable tabId="2" name="PivotTable23"/>
    <pivotTable tabId="2" name="PivotTable27"/>
    <pivotTable tabId="2" name="PivotTable21"/>
    <pivotTable tabId="2" name="PivotTable22"/>
    <pivotTable tabId="2" name="PivotTable24"/>
    <pivotTable tabId="2" name="PivotTable25"/>
    <pivotTable tabId="2" name="PivotTable26"/>
    <pivotTable tabId="2" name="PivotTable28"/>
  </pivotTables>
  <data>
    <tabular pivotCacheId="1871427537">
      <items count="6">
        <i x="0" s="1"/>
        <i x="4" s="1"/>
        <i x="3" s="1"/>
        <i x="1" s="1"/>
        <i x="2" s="1"/>
        <i x="5"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_Type" xr10:uid="{8FA7ECFB-5810-C645-8743-42FB475F64A5}" cache="Slicer_Product_Type" caption="Product_Type" columnCount="4" rowHeight="251883"/>
  <slicer name="Supplier" xr10:uid="{0C7FC1FE-4B45-FB46-A896-4459073D865C}" cache="Slicer_Supplier" caption="Supplier" columnCount="3" rowHeight="251883"/>
  <slicer name="Warehouse_Location" xr10:uid="{87255C85-FE4E-E44B-B5C3-D87BC75AFDBA}" cache="Slicer_Warehouse_Location" caption="Warehouse_Location" columnCount="5"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447E76B-FDCC-1F4D-8E44-B11223151A88}" name="Table1" displayName="Table1" ref="A1:O39" totalsRowShown="0">
  <autoFilter ref="A1:O39" xr:uid="{1447E76B-FDCC-1F4D-8E44-B11223151A88}"/>
  <tableColumns count="15">
    <tableColumn id="1" xr3:uid="{F44A6DA6-8281-0E49-B3EA-7A57A3BAFC15}" name="Date" dataDxfId="1"/>
    <tableColumn id="2" xr3:uid="{355564A1-156B-BA41-96E7-8F1AE214B952}" name="Product_Type"/>
    <tableColumn id="3" xr3:uid="{F27F0E3A-D32C-AC42-9BDA-693CF36E353F}" name="Supplier"/>
    <tableColumn id="4" xr3:uid="{69E55C3A-D4C2-C34E-8F7C-53870AC4AD93}" name="Warehouse_Location"/>
    <tableColumn id="5" xr3:uid="{53604F69-F893-7849-942D-E7713332CB11}" name="Inventory_Level"/>
    <tableColumn id="6" xr3:uid="{0731DD96-F18E-1442-88BA-57A64E3A4076}" name="Units_Ordered"/>
    <tableColumn id="7" xr3:uid="{738360E6-441A-3A4C-8EBE-80ECE9983864}" name="Units_Delivered"/>
    <tableColumn id="8" xr3:uid="{1AC233E8-1508-DB44-B71D-6BE9F84DBB16}" name="Delivery_Time"/>
    <tableColumn id="9" xr3:uid="{2F5A03A6-4026-204B-837E-E643F764FBCA}" name="Units_Sold"/>
    <tableColumn id="10" xr3:uid="{DF451A80-1C73-6743-8E5C-268FEE3CEF05}" name="Price_per_Unit"/>
    <tableColumn id="11" xr3:uid="{59004442-552E-384F-B500-577202000094}" name="Revenue"/>
    <tableColumn id="12" xr3:uid="{7B30EB45-6368-DF4A-B824-53FA1DF70007}" name="Cost_per_Unit"/>
    <tableColumn id="13" xr3:uid="{77EF281E-6CB6-E94D-95DE-3CFB9C88ECC7}" name="Total_Cost"/>
    <tableColumn id="15" xr3:uid="{825027BD-651C-344C-80DF-39D035B6A946}" name="Inventory gap" dataDxfId="0">
      <calculatedColumnFormula>Table1[[#This Row],[Units_Delivered]]-Table1[[#This Row],[Units_Sold]]</calculatedColumnFormula>
    </tableColumn>
    <tableColumn id="14" xr3:uid="{C8A79615-B33D-2A49-A72E-5F57C0F18099}" name="Profit"/>
  </tableColumns>
  <tableStyleInfo name="TableStyleMedium2"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Ion Boardroom">
  <a:themeElements>
    <a:clrScheme name="Violet II">
      <a:dk1>
        <a:sysClr val="windowText" lastClr="000000"/>
      </a:dk1>
      <a:lt1>
        <a:sysClr val="window" lastClr="FFFFFF"/>
      </a:lt1>
      <a:dk2>
        <a:srgbClr val="632E62"/>
      </a:dk2>
      <a:lt2>
        <a:srgbClr val="EAE5EB"/>
      </a:lt2>
      <a:accent1>
        <a:srgbClr val="92278F"/>
      </a:accent1>
      <a:accent2>
        <a:srgbClr val="9B57D3"/>
      </a:accent2>
      <a:accent3>
        <a:srgbClr val="755DD9"/>
      </a:accent3>
      <a:accent4>
        <a:srgbClr val="665EB8"/>
      </a:accent4>
      <a:accent5>
        <a:srgbClr val="45A5ED"/>
      </a:accent5>
      <a:accent6>
        <a:srgbClr val="5982DB"/>
      </a:accent6>
      <a:hlink>
        <a:srgbClr val="0066FF"/>
      </a:hlink>
      <a:folHlink>
        <a:srgbClr val="666699"/>
      </a:folHlink>
    </a:clrScheme>
    <a:fontScheme name="Ion Boardroom">
      <a:majorFont>
        <a:latin typeface="Century Gothic" panose="020B0502020202020204"/>
        <a:ea typeface=""/>
        <a:cs typeface=""/>
        <a:font script="Jpan" typeface="メイリオ"/>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entury Gothic" panose="020B050202020202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Ion Boardroom">
      <a:fillStyleLst>
        <a:solidFill>
          <a:schemeClr val="phClr"/>
        </a:solidFill>
        <a:gradFill rotWithShape="1">
          <a:gsLst>
            <a:gs pos="0">
              <a:schemeClr val="phClr">
                <a:tint val="64000"/>
                <a:lumMod val="118000"/>
              </a:schemeClr>
            </a:gs>
            <a:gs pos="100000">
              <a:schemeClr val="phClr">
                <a:tint val="92000"/>
                <a:alpha val="100000"/>
                <a:lumMod val="110000"/>
              </a:schemeClr>
            </a:gs>
          </a:gsLst>
          <a:lin ang="5400000" scaled="0"/>
        </a:gradFill>
        <a:gradFill rotWithShape="1">
          <a:gsLst>
            <a:gs pos="0">
              <a:schemeClr val="phClr">
                <a:tint val="98000"/>
                <a:lumMod val="114000"/>
              </a:schemeClr>
            </a:gs>
            <a:gs pos="100000">
              <a:schemeClr val="phClr">
                <a:shade val="90000"/>
                <a:lumMod val="84000"/>
              </a:schemeClr>
            </a:gs>
          </a:gsLst>
          <a:lin ang="5400000" scaled="0"/>
        </a:gradFill>
      </a:fillStyleLst>
      <a:lnStyleLst>
        <a:ln w="9525" cap="rnd" cmpd="sng" algn="ctr">
          <a:solidFill>
            <a:schemeClr val="phClr"/>
          </a:solidFill>
          <a:prstDash val="solid"/>
        </a:ln>
        <a:ln w="19050" cap="rnd" cmpd="sng" algn="ctr">
          <a:solidFill>
            <a:schemeClr val="phClr"/>
          </a:solidFill>
          <a:prstDash val="solid"/>
        </a:ln>
        <a:ln w="28575" cap="rnd" cmpd="sng" algn="ctr">
          <a:solidFill>
            <a:schemeClr val="phClr"/>
          </a:solidFill>
          <a:prstDash val="solid"/>
        </a:ln>
      </a:lnStyleLst>
      <a:effectStyleLst>
        <a:effectStyle>
          <a:effectLst/>
        </a:effectStyle>
        <a:effectStyle>
          <a:effectLst>
            <a:outerShdw blurRad="38100" dist="25400" dir="5400000" rotWithShape="0">
              <a:srgbClr val="000000">
                <a:alpha val="45000"/>
              </a:srgbClr>
            </a:outerShdw>
          </a:effectLst>
        </a:effectStyle>
        <a:effectStyle>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a:effectStyle>
      </a:effectStyleLst>
      <a:bgFillStyleLst>
        <a:solidFill>
          <a:schemeClr val="phClr"/>
        </a:solidFill>
        <a:gradFill rotWithShape="1">
          <a:gsLst>
            <a:gs pos="0">
              <a:schemeClr val="phClr">
                <a:tint val="98000"/>
                <a:hueMod val="124000"/>
                <a:satMod val="148000"/>
                <a:lumMod val="124000"/>
              </a:schemeClr>
            </a:gs>
            <a:gs pos="100000">
              <a:schemeClr val="phClr">
                <a:shade val="76000"/>
                <a:hueMod val="89000"/>
                <a:satMod val="164000"/>
                <a:lumMod val="56000"/>
              </a:schemeClr>
            </a:gs>
          </a:gsLst>
          <a:path path="circle">
            <a:fillToRect l="45000" t="65000" r="125000" b="100000"/>
          </a:path>
        </a:gradFill>
        <a:blipFill rotWithShape="1">
          <a:blip xmlns:r="http://schemas.openxmlformats.org/officeDocument/2006/relationships" r:embed="rId1">
            <a:duotone>
              <a:schemeClr val="phClr">
                <a:shade val="69000"/>
                <a:hueMod val="91000"/>
                <a:satMod val="164000"/>
                <a:lumMod val="74000"/>
              </a:schemeClr>
              <a:schemeClr val="phClr">
                <a:hueMod val="124000"/>
                <a:satMod val="140000"/>
                <a:lumMod val="142000"/>
              </a:schemeClr>
            </a:duotone>
          </a:blip>
          <a:stretch/>
        </a:blipFill>
      </a:bgFillStyleLst>
    </a:fmtScheme>
  </a:themeElements>
  <a:objectDefaults/>
  <a:extraClrSchemeLst/>
  <a:extLst>
    <a:ext uri="{05A4C25C-085E-4340-85A3-A5531E510DB2}">
      <thm15:themeFamily xmlns:thm15="http://schemas.microsoft.com/office/thememl/2012/main" name="Ion Boardroom" id="{FC33163D-4339-46B1-8EED-24C834239D99}" vid="{B8502691-933B-45FE-8764-BA278511EF27}"/>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448265-2D23-D945-950F-3A7322F182BC}">
  <dimension ref="A1"/>
  <sheetViews>
    <sheetView showGridLines="0" tabSelected="1" view="pageBreakPreview" zoomScale="90" zoomScaleNormal="90" zoomScaleSheetLayoutView="90" workbookViewId="0">
      <selection activeCell="M21" sqref="M21"/>
    </sheetView>
  </sheetViews>
  <sheetFormatPr baseColWidth="10" defaultRowHeight="16" x14ac:dyDescent="0.2"/>
  <sheetData/>
  <pageMargins left="0.7" right="0.7" top="0.75" bottom="0.75" header="0.3" footer="0.3"/>
  <pageSetup paperSize="9" scale="53" orientation="portrait" horizontalDpi="0" verticalDpi="0"/>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079B47-6ABC-B541-B3DF-B50C29922276}">
  <dimension ref="A1:AQ8"/>
  <sheetViews>
    <sheetView workbookViewId="0">
      <selection activeCell="E6" sqref="E6"/>
    </sheetView>
  </sheetViews>
  <sheetFormatPr baseColWidth="10" defaultRowHeight="16" x14ac:dyDescent="0.2"/>
  <cols>
    <col min="1" max="1" width="15.7109375" customWidth="1"/>
    <col min="2" max="2" width="14" customWidth="1"/>
    <col min="3" max="3" width="11.7109375" customWidth="1"/>
    <col min="4" max="4" width="21.85546875" customWidth="1"/>
    <col min="5" max="5" width="19.28515625" customWidth="1"/>
    <col min="7" max="7" width="12.85546875" customWidth="1"/>
    <col min="8" max="8" width="14" customWidth="1"/>
    <col min="9" max="9" width="13" customWidth="1"/>
    <col min="10" max="10" width="10" customWidth="1"/>
    <col min="14" max="14" width="12.85546875" customWidth="1"/>
    <col min="15" max="15" width="19" customWidth="1"/>
    <col min="16" max="16" width="20.28515625" customWidth="1"/>
    <col min="17" max="17" width="21.85546875" customWidth="1"/>
    <col min="21" max="21" width="12.85546875" customWidth="1"/>
    <col min="22" max="22" width="18.5703125" customWidth="1"/>
    <col min="23" max="23" width="14" customWidth="1"/>
    <col min="24" max="25" width="11.7109375" customWidth="1"/>
    <col min="26" max="26" width="12.85546875" customWidth="1"/>
    <col min="27" max="29" width="18" customWidth="1"/>
    <col min="31" max="31" width="12.85546875" customWidth="1"/>
    <col min="32" max="32" width="20.28515625" customWidth="1"/>
    <col min="33" max="33" width="21.85546875" customWidth="1"/>
    <col min="34" max="34" width="11.7109375" customWidth="1"/>
    <col min="37" max="37" width="12.85546875" customWidth="1"/>
    <col min="38" max="38" width="20.28515625" customWidth="1"/>
    <col min="39" max="39" width="11.28515625" customWidth="1"/>
    <col min="42" max="42" width="12.85546875" customWidth="1"/>
    <col min="43" max="43" width="21.85546875" customWidth="1"/>
  </cols>
  <sheetData>
    <row r="1" spans="1:43" x14ac:dyDescent="0.2">
      <c r="AE1" s="11" t="s">
        <v>35</v>
      </c>
      <c r="AF1" s="11"/>
      <c r="AG1" s="11"/>
      <c r="AH1" s="11"/>
      <c r="AI1" s="11"/>
      <c r="AJ1" s="11"/>
      <c r="AK1" s="11"/>
      <c r="AL1" s="11"/>
      <c r="AM1" s="11"/>
      <c r="AN1" s="11"/>
    </row>
    <row r="3" spans="1:43" x14ac:dyDescent="0.2">
      <c r="A3" t="s">
        <v>28</v>
      </c>
      <c r="B3" t="s">
        <v>29</v>
      </c>
      <c r="C3" t="s">
        <v>30</v>
      </c>
      <c r="D3" t="s">
        <v>33</v>
      </c>
      <c r="E3" t="s">
        <v>42</v>
      </c>
      <c r="G3" s="2" t="s">
        <v>26</v>
      </c>
      <c r="H3" t="s">
        <v>38</v>
      </c>
      <c r="I3" t="s">
        <v>36</v>
      </c>
      <c r="J3" t="s">
        <v>37</v>
      </c>
      <c r="N3" s="2" t="s">
        <v>26</v>
      </c>
      <c r="O3" t="s">
        <v>31</v>
      </c>
      <c r="P3" t="s">
        <v>32</v>
      </c>
      <c r="Q3" t="s">
        <v>33</v>
      </c>
      <c r="U3" s="2" t="s">
        <v>26</v>
      </c>
      <c r="V3" t="s">
        <v>39</v>
      </c>
      <c r="W3" t="s">
        <v>38</v>
      </c>
      <c r="X3" t="s">
        <v>34</v>
      </c>
      <c r="Z3" s="2" t="s">
        <v>26</v>
      </c>
      <c r="AA3" t="s">
        <v>41</v>
      </c>
      <c r="AE3" s="2" t="s">
        <v>26</v>
      </c>
      <c r="AF3" t="s">
        <v>32</v>
      </c>
      <c r="AG3" t="s">
        <v>33</v>
      </c>
      <c r="AK3" s="2" t="s">
        <v>26</v>
      </c>
      <c r="AL3" t="s">
        <v>32</v>
      </c>
      <c r="AP3" s="2" t="s">
        <v>26</v>
      </c>
      <c r="AQ3" t="s">
        <v>33</v>
      </c>
    </row>
    <row r="4" spans="1:43" x14ac:dyDescent="0.2">
      <c r="A4" s="5">
        <v>2970</v>
      </c>
      <c r="B4" s="4">
        <v>1349500</v>
      </c>
      <c r="C4" s="4">
        <v>426000</v>
      </c>
      <c r="D4" s="7">
        <v>6.0789473684210522</v>
      </c>
      <c r="E4" s="8">
        <f>GETPIVOTDATA("Sum of Profit",$A$3)/GETPIVOTDATA("Sum of Revenue",$A$3)</f>
        <v>0.31567247128566134</v>
      </c>
      <c r="G4" s="3" t="s">
        <v>17</v>
      </c>
      <c r="H4" s="5">
        <v>805</v>
      </c>
      <c r="I4" s="5">
        <v>402500</v>
      </c>
      <c r="J4" s="5">
        <v>120750</v>
      </c>
      <c r="N4" s="3" t="s">
        <v>15</v>
      </c>
      <c r="O4" s="5">
        <v>1439</v>
      </c>
      <c r="P4" s="5">
        <v>1396</v>
      </c>
      <c r="Q4" s="7">
        <v>3.5384615384615383</v>
      </c>
      <c r="R4" s="8">
        <f>GETPIVOTDATA("Sum of Units_Delivered",$N$3,"Supplier","Supplier A")/GETPIVOTDATA("Sum of Units_Ordered",$N$3,"Supplier","Supplier A")</f>
        <v>0.97011813759555243</v>
      </c>
      <c r="U4" s="3" t="s">
        <v>17</v>
      </c>
      <c r="V4">
        <v>946</v>
      </c>
      <c r="W4">
        <v>805</v>
      </c>
      <c r="X4">
        <f>GETPIVOTDATA("Total Units_Delivered",$U$3,"Product_Type","Battery")-GETPIVOTDATA("Total Units_Sold",$U$3,"Product_Type","Battery")</f>
        <v>141</v>
      </c>
      <c r="Z4" s="3" t="s">
        <v>17</v>
      </c>
      <c r="AA4">
        <v>141</v>
      </c>
      <c r="AE4" s="3" t="s">
        <v>15</v>
      </c>
      <c r="AF4">
        <v>1396</v>
      </c>
      <c r="AG4" s="7">
        <v>3.5384615384615383</v>
      </c>
      <c r="AH4" t="str">
        <f>IF(GETPIVOTDATA("Average of Delivery_Time",$AE$3,"Supplier","Supplier A")&gt;7,"High Risk",IF(GETPIVOTDATA("Average of Delivery_Time",$AE$3,"Supplier","Supplier A")&gt;5,"Medium Risk","Low Risk"))</f>
        <v>Low Risk</v>
      </c>
      <c r="AK4" s="3" t="s">
        <v>15</v>
      </c>
      <c r="AL4" s="5">
        <v>1396</v>
      </c>
      <c r="AP4" s="3" t="s">
        <v>15</v>
      </c>
      <c r="AQ4" s="7">
        <v>3.5384615384615383</v>
      </c>
    </row>
    <row r="5" spans="1:43" x14ac:dyDescent="0.2">
      <c r="A5" s="10">
        <f>GETPIVOTDATA("Sum of Units_Sold",$A$3)</f>
        <v>2970</v>
      </c>
      <c r="B5" s="9">
        <f>GETPIVOTDATA("Sum of Revenue",$A$3)</f>
        <v>1349500</v>
      </c>
      <c r="C5" s="9">
        <f>GETPIVOTDATA("Sum of Profit",$A$3)</f>
        <v>426000</v>
      </c>
      <c r="D5" s="7">
        <f>GETPIVOTDATA("Average of Delivery_Time",$A$3)</f>
        <v>6.0789473684210522</v>
      </c>
      <c r="E5" s="8">
        <f>E4</f>
        <v>0.31567247128566134</v>
      </c>
      <c r="G5" s="3" t="s">
        <v>23</v>
      </c>
      <c r="H5" s="5">
        <v>575</v>
      </c>
      <c r="I5" s="5">
        <v>230000</v>
      </c>
      <c r="J5" s="5">
        <v>86250</v>
      </c>
      <c r="N5" s="3" t="s">
        <v>18</v>
      </c>
      <c r="O5" s="5">
        <v>1380</v>
      </c>
      <c r="P5" s="5">
        <v>1155</v>
      </c>
      <c r="Q5" s="7">
        <v>6.2307692307692308</v>
      </c>
      <c r="R5" s="8">
        <f>GETPIVOTDATA("Sum of Units_Delivered",$N$3,"Supplier","Supplier B")/GETPIVOTDATA("Sum of Units_Ordered",$N$3,"Supplier","Supplier B")</f>
        <v>0.83695652173913049</v>
      </c>
      <c r="U5" s="3" t="s">
        <v>23</v>
      </c>
      <c r="V5">
        <v>675</v>
      </c>
      <c r="W5">
        <v>575</v>
      </c>
      <c r="X5">
        <f>GETPIVOTDATA("Total Units_Delivered",$U$3,"Product_Type","EV Charger")-GETPIVOTDATA("Total Units_Sold",$U$3,"Product_Type","EV Charger")</f>
        <v>100</v>
      </c>
      <c r="Z5" s="3" t="s">
        <v>23</v>
      </c>
      <c r="AA5">
        <v>100</v>
      </c>
      <c r="AE5" s="3" t="s">
        <v>18</v>
      </c>
      <c r="AF5">
        <v>1155</v>
      </c>
      <c r="AG5" s="7">
        <v>6.2307692307692308</v>
      </c>
      <c r="AH5" t="str">
        <f>IF(GETPIVOTDATA("Average of Delivery_Time",$AE$3,"Supplier","Supplier B")&gt;7,"High Risk",IF(GETPIVOTDATA("Average of Delivery_Time",$AE$3,"Supplier","Supplier B")&gt;5,"Medium Risk","Low Risk"))</f>
        <v>Medium Risk</v>
      </c>
      <c r="AK5" s="3" t="s">
        <v>18</v>
      </c>
      <c r="AL5" s="5">
        <v>1155</v>
      </c>
      <c r="AP5" s="3" t="s">
        <v>18</v>
      </c>
      <c r="AQ5" s="7">
        <v>6.2307692307692308</v>
      </c>
    </row>
    <row r="6" spans="1:43" x14ac:dyDescent="0.2">
      <c r="G6" s="3" t="s">
        <v>20</v>
      </c>
      <c r="H6" s="5">
        <v>600</v>
      </c>
      <c r="I6" s="5">
        <v>420000</v>
      </c>
      <c r="J6" s="5">
        <v>120000</v>
      </c>
      <c r="N6" s="3" t="s">
        <v>21</v>
      </c>
      <c r="O6" s="5">
        <v>1246</v>
      </c>
      <c r="P6" s="5">
        <v>915</v>
      </c>
      <c r="Q6" s="7">
        <v>8.6666666666666661</v>
      </c>
      <c r="R6" s="8">
        <f>GETPIVOTDATA("Sum of Units_Delivered",$N$3,"Supplier","Supplier C")/GETPIVOTDATA("Sum of Units_Ordered",$N$3,"Supplier","Supplier C")</f>
        <v>0.7343499197431782</v>
      </c>
      <c r="U6" s="3" t="s">
        <v>20</v>
      </c>
      <c r="V6">
        <v>700</v>
      </c>
      <c r="W6">
        <v>600</v>
      </c>
      <c r="X6">
        <f>GETPIVOTDATA("Total Units_Delivered",$U$3,"Product_Type","Heat Pump")-GETPIVOTDATA("Total Units_Sold",$U$3,"Product_Type","Heat Pump")</f>
        <v>100</v>
      </c>
      <c r="Z6" s="3" t="s">
        <v>20</v>
      </c>
      <c r="AA6">
        <v>100</v>
      </c>
      <c r="AE6" s="3" t="s">
        <v>21</v>
      </c>
      <c r="AF6">
        <v>915</v>
      </c>
      <c r="AG6" s="7">
        <v>8.6666666666666661</v>
      </c>
      <c r="AH6" t="str">
        <f>IF(GETPIVOTDATA("Average of Delivery_Time",$AE$3,"Supplier","Supplier C")&gt;7,"High Risk",IF(GETPIVOTDATA("Average of Delivery_Time",$AE$3,"Supplier","Supplier C")&gt;5,"Medium Risk","Low Risk"))</f>
        <v>High Risk</v>
      </c>
      <c r="AK6" s="3" t="s">
        <v>21</v>
      </c>
      <c r="AL6" s="5">
        <v>915</v>
      </c>
      <c r="AP6" s="3" t="s">
        <v>21</v>
      </c>
      <c r="AQ6" s="7">
        <v>8.6666666666666661</v>
      </c>
    </row>
    <row r="7" spans="1:43" x14ac:dyDescent="0.2">
      <c r="G7" s="3" t="s">
        <v>14</v>
      </c>
      <c r="H7" s="5">
        <v>990</v>
      </c>
      <c r="I7" s="5">
        <v>297000</v>
      </c>
      <c r="J7" s="5">
        <v>99000</v>
      </c>
      <c r="N7" s="3" t="s">
        <v>27</v>
      </c>
      <c r="O7" s="5">
        <v>4065</v>
      </c>
      <c r="P7" s="5">
        <v>3466</v>
      </c>
      <c r="Q7" s="6">
        <v>6.0789473684210522</v>
      </c>
      <c r="R7" s="8"/>
      <c r="U7" s="3" t="s">
        <v>14</v>
      </c>
      <c r="V7">
        <v>1145</v>
      </c>
      <c r="W7">
        <v>990</v>
      </c>
      <c r="X7">
        <f>GETPIVOTDATA("Total Units_Delivered",$U$3,"Product_Type","Solar Panel")-GETPIVOTDATA("Total Units_Sold",$U$3,"Product_Type","Solar Panel")</f>
        <v>155</v>
      </c>
      <c r="Z7" s="3" t="s">
        <v>14</v>
      </c>
      <c r="AA7">
        <v>155</v>
      </c>
      <c r="AE7" s="3" t="s">
        <v>27</v>
      </c>
      <c r="AF7">
        <v>3466</v>
      </c>
      <c r="AG7" s="7">
        <v>6.0789473684210522</v>
      </c>
      <c r="AK7" s="3" t="s">
        <v>27</v>
      </c>
      <c r="AL7" s="5">
        <v>3466</v>
      </c>
      <c r="AP7" s="3" t="s">
        <v>27</v>
      </c>
      <c r="AQ7" s="7">
        <v>6.0789473684210522</v>
      </c>
    </row>
    <row r="8" spans="1:43" x14ac:dyDescent="0.2">
      <c r="G8" s="3" t="s">
        <v>27</v>
      </c>
      <c r="H8" s="5">
        <v>2970</v>
      </c>
      <c r="I8" s="5">
        <v>1349500</v>
      </c>
      <c r="J8" s="5">
        <v>426000</v>
      </c>
      <c r="U8" s="3" t="s">
        <v>27</v>
      </c>
      <c r="V8">
        <v>3466</v>
      </c>
      <c r="W8">
        <v>2970</v>
      </c>
      <c r="Z8" s="3" t="s">
        <v>27</v>
      </c>
      <c r="AA8">
        <v>496</v>
      </c>
    </row>
  </sheetData>
  <mergeCells count="1">
    <mergeCell ref="AE1:AN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13B666-9345-A24D-A9B4-3FCFC3A9B253}">
  <dimension ref="A1:O39"/>
  <sheetViews>
    <sheetView workbookViewId="0">
      <selection activeCell="N3" sqref="N3"/>
    </sheetView>
  </sheetViews>
  <sheetFormatPr baseColWidth="10" defaultRowHeight="16" x14ac:dyDescent="0.2"/>
  <cols>
    <col min="2" max="2" width="14.42578125" customWidth="1"/>
    <col min="4" max="4" width="20.7109375" customWidth="1"/>
    <col min="5" max="5" width="16" customWidth="1"/>
    <col min="6" max="6" width="15.28515625" customWidth="1"/>
    <col min="7" max="7" width="16.42578125" customWidth="1"/>
    <col min="8" max="8" width="14.85546875" customWidth="1"/>
    <col min="9" max="9" width="12" customWidth="1"/>
    <col min="10" max="10" width="15.42578125" customWidth="1"/>
    <col min="12" max="12" width="15" customWidth="1"/>
    <col min="13" max="14" width="12.28515625" customWidth="1"/>
  </cols>
  <sheetData>
    <row r="1" spans="1:15" x14ac:dyDescent="0.2">
      <c r="A1" t="s">
        <v>0</v>
      </c>
      <c r="B1" t="s">
        <v>1</v>
      </c>
      <c r="C1" t="s">
        <v>2</v>
      </c>
      <c r="D1" t="s">
        <v>3</v>
      </c>
      <c r="E1" t="s">
        <v>4</v>
      </c>
      <c r="F1" t="s">
        <v>5</v>
      </c>
      <c r="G1" t="s">
        <v>6</v>
      </c>
      <c r="H1" t="s">
        <v>7</v>
      </c>
      <c r="I1" t="s">
        <v>8</v>
      </c>
      <c r="J1" t="s">
        <v>9</v>
      </c>
      <c r="K1" t="s">
        <v>10</v>
      </c>
      <c r="L1" t="s">
        <v>11</v>
      </c>
      <c r="M1" t="s">
        <v>12</v>
      </c>
      <c r="N1" t="s">
        <v>40</v>
      </c>
      <c r="O1" t="s">
        <v>13</v>
      </c>
    </row>
    <row r="2" spans="1:15" x14ac:dyDescent="0.2">
      <c r="A2" s="1">
        <v>45292</v>
      </c>
      <c r="B2" t="s">
        <v>14</v>
      </c>
      <c r="C2" t="s">
        <v>15</v>
      </c>
      <c r="D2" t="s">
        <v>16</v>
      </c>
      <c r="E2">
        <v>30</v>
      </c>
      <c r="F2">
        <v>120</v>
      </c>
      <c r="G2">
        <v>115</v>
      </c>
      <c r="H2">
        <v>4</v>
      </c>
      <c r="I2">
        <v>95</v>
      </c>
      <c r="J2">
        <v>300</v>
      </c>
      <c r="K2">
        <v>28500</v>
      </c>
      <c r="L2">
        <v>200</v>
      </c>
      <c r="M2">
        <v>19000</v>
      </c>
      <c r="N2">
        <f>Table1[[#This Row],[Units_Delivered]]-Table1[[#This Row],[Units_Sold]]</f>
        <v>20</v>
      </c>
      <c r="O2">
        <v>9500</v>
      </c>
    </row>
    <row r="3" spans="1:15" x14ac:dyDescent="0.2">
      <c r="A3" s="1">
        <v>45293</v>
      </c>
      <c r="B3" t="s">
        <v>17</v>
      </c>
      <c r="C3" t="s">
        <v>18</v>
      </c>
      <c r="D3" t="s">
        <v>19</v>
      </c>
      <c r="E3">
        <v>20</v>
      </c>
      <c r="F3">
        <v>100</v>
      </c>
      <c r="G3">
        <v>85</v>
      </c>
      <c r="H3">
        <v>7</v>
      </c>
      <c r="I3">
        <v>75</v>
      </c>
      <c r="J3">
        <v>500</v>
      </c>
      <c r="K3">
        <v>37500</v>
      </c>
      <c r="L3">
        <v>350</v>
      </c>
      <c r="M3">
        <v>26250</v>
      </c>
      <c r="N3">
        <f>Table1[[#This Row],[Units_Delivered]]-Table1[[#This Row],[Units_Sold]]</f>
        <v>10</v>
      </c>
      <c r="O3">
        <v>11250</v>
      </c>
    </row>
    <row r="4" spans="1:15" x14ac:dyDescent="0.2">
      <c r="A4" s="1">
        <v>45294</v>
      </c>
      <c r="B4" t="s">
        <v>20</v>
      </c>
      <c r="C4" t="s">
        <v>21</v>
      </c>
      <c r="D4" t="s">
        <v>22</v>
      </c>
      <c r="E4">
        <v>10</v>
      </c>
      <c r="F4">
        <v>80</v>
      </c>
      <c r="G4">
        <v>60</v>
      </c>
      <c r="H4">
        <v>9</v>
      </c>
      <c r="I4">
        <v>55</v>
      </c>
      <c r="J4">
        <v>700</v>
      </c>
      <c r="K4">
        <v>38500</v>
      </c>
      <c r="L4">
        <v>500</v>
      </c>
      <c r="M4">
        <v>27500</v>
      </c>
      <c r="N4">
        <f>Table1[[#This Row],[Units_Delivered]]-Table1[[#This Row],[Units_Sold]]</f>
        <v>5</v>
      </c>
      <c r="O4">
        <v>11000</v>
      </c>
    </row>
    <row r="5" spans="1:15" x14ac:dyDescent="0.2">
      <c r="A5" s="1">
        <v>45295</v>
      </c>
      <c r="B5" t="s">
        <v>23</v>
      </c>
      <c r="C5" t="s">
        <v>15</v>
      </c>
      <c r="D5" t="s">
        <v>24</v>
      </c>
      <c r="E5">
        <v>25</v>
      </c>
      <c r="F5">
        <v>90</v>
      </c>
      <c r="G5">
        <v>88</v>
      </c>
      <c r="H5">
        <v>3</v>
      </c>
      <c r="I5">
        <v>70</v>
      </c>
      <c r="J5">
        <v>400</v>
      </c>
      <c r="K5">
        <v>28000</v>
      </c>
      <c r="L5">
        <v>250</v>
      </c>
      <c r="M5">
        <v>17500</v>
      </c>
      <c r="N5">
        <f>Table1[[#This Row],[Units_Delivered]]-Table1[[#This Row],[Units_Sold]]</f>
        <v>18</v>
      </c>
      <c r="O5">
        <v>10500</v>
      </c>
    </row>
    <row r="6" spans="1:15" x14ac:dyDescent="0.2">
      <c r="A6" s="1">
        <v>45296</v>
      </c>
      <c r="B6" t="s">
        <v>14</v>
      </c>
      <c r="C6" t="s">
        <v>18</v>
      </c>
      <c r="D6" t="s">
        <v>25</v>
      </c>
      <c r="E6">
        <v>18</v>
      </c>
      <c r="F6">
        <v>130</v>
      </c>
      <c r="G6">
        <v>110</v>
      </c>
      <c r="H6">
        <v>6</v>
      </c>
      <c r="I6">
        <v>95</v>
      </c>
      <c r="J6">
        <v>300</v>
      </c>
      <c r="K6">
        <v>28500</v>
      </c>
      <c r="L6">
        <v>200</v>
      </c>
      <c r="M6">
        <v>19000</v>
      </c>
      <c r="N6">
        <f>Table1[[#This Row],[Units_Delivered]]-Table1[[#This Row],[Units_Sold]]</f>
        <v>15</v>
      </c>
      <c r="O6">
        <v>9500</v>
      </c>
    </row>
    <row r="7" spans="1:15" x14ac:dyDescent="0.2">
      <c r="A7" s="1">
        <v>45297</v>
      </c>
      <c r="B7" t="s">
        <v>17</v>
      </c>
      <c r="C7" t="s">
        <v>21</v>
      </c>
      <c r="D7" t="s">
        <v>16</v>
      </c>
      <c r="E7">
        <v>12</v>
      </c>
      <c r="F7">
        <v>110</v>
      </c>
      <c r="G7">
        <v>85</v>
      </c>
      <c r="H7">
        <v>8</v>
      </c>
      <c r="I7">
        <v>70</v>
      </c>
      <c r="J7">
        <v>500</v>
      </c>
      <c r="K7">
        <v>35000</v>
      </c>
      <c r="L7">
        <v>350</v>
      </c>
      <c r="M7">
        <v>24500</v>
      </c>
      <c r="N7">
        <f>Table1[[#This Row],[Units_Delivered]]-Table1[[#This Row],[Units_Sold]]</f>
        <v>15</v>
      </c>
      <c r="O7">
        <v>10500</v>
      </c>
    </row>
    <row r="8" spans="1:15" x14ac:dyDescent="0.2">
      <c r="A8" s="1">
        <v>45298</v>
      </c>
      <c r="B8" t="s">
        <v>20</v>
      </c>
      <c r="C8" t="s">
        <v>15</v>
      </c>
      <c r="D8" t="s">
        <v>19</v>
      </c>
      <c r="E8">
        <v>15</v>
      </c>
      <c r="F8">
        <v>95</v>
      </c>
      <c r="G8">
        <v>92</v>
      </c>
      <c r="H8">
        <v>4</v>
      </c>
      <c r="I8">
        <v>80</v>
      </c>
      <c r="J8">
        <v>700</v>
      </c>
      <c r="K8">
        <v>56000</v>
      </c>
      <c r="L8">
        <v>500</v>
      </c>
      <c r="M8">
        <v>40000</v>
      </c>
      <c r="N8">
        <f>Table1[[#This Row],[Units_Delivered]]-Table1[[#This Row],[Units_Sold]]</f>
        <v>12</v>
      </c>
      <c r="O8">
        <v>16000</v>
      </c>
    </row>
    <row r="9" spans="1:15" x14ac:dyDescent="0.2">
      <c r="A9" s="1">
        <v>45299</v>
      </c>
      <c r="B9" t="s">
        <v>23</v>
      </c>
      <c r="C9" t="s">
        <v>18</v>
      </c>
      <c r="D9" t="s">
        <v>22</v>
      </c>
      <c r="E9">
        <v>16</v>
      </c>
      <c r="F9">
        <v>85</v>
      </c>
      <c r="G9">
        <v>70</v>
      </c>
      <c r="H9">
        <v>6</v>
      </c>
      <c r="I9">
        <v>60</v>
      </c>
      <c r="J9">
        <v>400</v>
      </c>
      <c r="K9">
        <v>24000</v>
      </c>
      <c r="L9">
        <v>250</v>
      </c>
      <c r="M9">
        <v>15000</v>
      </c>
      <c r="N9">
        <f>Table1[[#This Row],[Units_Delivered]]-Table1[[#This Row],[Units_Sold]]</f>
        <v>10</v>
      </c>
      <c r="O9">
        <v>9000</v>
      </c>
    </row>
    <row r="10" spans="1:15" x14ac:dyDescent="0.2">
      <c r="A10" s="1">
        <v>45300</v>
      </c>
      <c r="B10" t="s">
        <v>14</v>
      </c>
      <c r="C10" t="s">
        <v>21</v>
      </c>
      <c r="D10" t="s">
        <v>24</v>
      </c>
      <c r="E10">
        <v>10</v>
      </c>
      <c r="F10">
        <v>140</v>
      </c>
      <c r="G10">
        <v>105</v>
      </c>
      <c r="H10">
        <v>9</v>
      </c>
      <c r="I10">
        <v>95</v>
      </c>
      <c r="J10">
        <v>300</v>
      </c>
      <c r="K10">
        <v>28500</v>
      </c>
      <c r="L10">
        <v>200</v>
      </c>
      <c r="M10">
        <v>19000</v>
      </c>
      <c r="N10">
        <f>Table1[[#This Row],[Units_Delivered]]-Table1[[#This Row],[Units_Sold]]</f>
        <v>10</v>
      </c>
      <c r="O10">
        <v>9500</v>
      </c>
    </row>
    <row r="11" spans="1:15" x14ac:dyDescent="0.2">
      <c r="A11" s="1">
        <v>45301</v>
      </c>
      <c r="B11" t="s">
        <v>17</v>
      </c>
      <c r="C11" t="s">
        <v>15</v>
      </c>
      <c r="D11" t="s">
        <v>25</v>
      </c>
      <c r="E11">
        <v>20</v>
      </c>
      <c r="F11">
        <v>105</v>
      </c>
      <c r="G11">
        <v>100</v>
      </c>
      <c r="H11">
        <v>4</v>
      </c>
      <c r="I11">
        <v>85</v>
      </c>
      <c r="J11">
        <v>500</v>
      </c>
      <c r="K11">
        <v>42500</v>
      </c>
      <c r="L11">
        <v>350</v>
      </c>
      <c r="M11">
        <v>29750</v>
      </c>
      <c r="N11">
        <f>Table1[[#This Row],[Units_Delivered]]-Table1[[#This Row],[Units_Sold]]</f>
        <v>15</v>
      </c>
      <c r="O11">
        <v>12750</v>
      </c>
    </row>
    <row r="12" spans="1:15" x14ac:dyDescent="0.2">
      <c r="A12" s="1">
        <v>45302</v>
      </c>
      <c r="B12" t="s">
        <v>20</v>
      </c>
      <c r="C12" t="s">
        <v>18</v>
      </c>
      <c r="D12" t="s">
        <v>16</v>
      </c>
      <c r="E12">
        <v>14</v>
      </c>
      <c r="F12">
        <v>90</v>
      </c>
      <c r="G12">
        <v>75</v>
      </c>
      <c r="H12">
        <v>6</v>
      </c>
      <c r="I12">
        <v>65</v>
      </c>
      <c r="J12">
        <v>700</v>
      </c>
      <c r="K12">
        <v>45500</v>
      </c>
      <c r="L12">
        <v>500</v>
      </c>
      <c r="M12">
        <v>32500</v>
      </c>
      <c r="N12">
        <f>Table1[[#This Row],[Units_Delivered]]-Table1[[#This Row],[Units_Sold]]</f>
        <v>10</v>
      </c>
      <c r="O12">
        <v>13000</v>
      </c>
    </row>
    <row r="13" spans="1:15" x14ac:dyDescent="0.2">
      <c r="A13" s="1">
        <v>45303</v>
      </c>
      <c r="B13" t="s">
        <v>23</v>
      </c>
      <c r="C13" t="s">
        <v>21</v>
      </c>
      <c r="D13" t="s">
        <v>19</v>
      </c>
      <c r="E13">
        <v>12</v>
      </c>
      <c r="F13">
        <v>88</v>
      </c>
      <c r="G13">
        <v>65</v>
      </c>
      <c r="H13">
        <v>8</v>
      </c>
      <c r="I13">
        <v>55</v>
      </c>
      <c r="J13">
        <v>400</v>
      </c>
      <c r="K13">
        <v>22000</v>
      </c>
      <c r="L13">
        <v>250</v>
      </c>
      <c r="M13">
        <v>13750</v>
      </c>
      <c r="N13">
        <f>Table1[[#This Row],[Units_Delivered]]-Table1[[#This Row],[Units_Sold]]</f>
        <v>10</v>
      </c>
      <c r="O13">
        <v>8250</v>
      </c>
    </row>
    <row r="14" spans="1:15" x14ac:dyDescent="0.2">
      <c r="A14" s="1">
        <v>45304</v>
      </c>
      <c r="B14" t="s">
        <v>14</v>
      </c>
      <c r="C14" t="s">
        <v>15</v>
      </c>
      <c r="D14" t="s">
        <v>22</v>
      </c>
      <c r="E14">
        <v>28</v>
      </c>
      <c r="F14">
        <v>135</v>
      </c>
      <c r="G14">
        <v>130</v>
      </c>
      <c r="H14">
        <v>3</v>
      </c>
      <c r="I14">
        <v>110</v>
      </c>
      <c r="J14">
        <v>300</v>
      </c>
      <c r="K14">
        <v>33000</v>
      </c>
      <c r="L14">
        <v>200</v>
      </c>
      <c r="M14">
        <v>22000</v>
      </c>
      <c r="N14">
        <f>Table1[[#This Row],[Units_Delivered]]-Table1[[#This Row],[Units_Sold]]</f>
        <v>20</v>
      </c>
      <c r="O14">
        <v>11000</v>
      </c>
    </row>
    <row r="15" spans="1:15" x14ac:dyDescent="0.2">
      <c r="A15" s="1">
        <v>45305</v>
      </c>
      <c r="B15" t="s">
        <v>17</v>
      </c>
      <c r="C15" t="s">
        <v>18</v>
      </c>
      <c r="D15" t="s">
        <v>24</v>
      </c>
      <c r="E15">
        <v>16</v>
      </c>
      <c r="F15">
        <v>115</v>
      </c>
      <c r="G15">
        <v>95</v>
      </c>
      <c r="H15">
        <v>6</v>
      </c>
      <c r="I15">
        <v>80</v>
      </c>
      <c r="J15">
        <v>500</v>
      </c>
      <c r="K15">
        <v>40000</v>
      </c>
      <c r="L15">
        <v>350</v>
      </c>
      <c r="M15">
        <v>28000</v>
      </c>
      <c r="N15">
        <f>Table1[[#This Row],[Units_Delivered]]-Table1[[#This Row],[Units_Sold]]</f>
        <v>15</v>
      </c>
      <c r="O15">
        <v>12000</v>
      </c>
    </row>
    <row r="16" spans="1:15" x14ac:dyDescent="0.2">
      <c r="A16" s="1">
        <v>45306</v>
      </c>
      <c r="B16" t="s">
        <v>20</v>
      </c>
      <c r="C16" t="s">
        <v>21</v>
      </c>
      <c r="D16" t="s">
        <v>25</v>
      </c>
      <c r="E16">
        <v>9</v>
      </c>
      <c r="F16">
        <v>85</v>
      </c>
      <c r="G16">
        <v>60</v>
      </c>
      <c r="H16">
        <v>9</v>
      </c>
      <c r="I16">
        <v>50</v>
      </c>
      <c r="J16">
        <v>700</v>
      </c>
      <c r="K16">
        <v>35000</v>
      </c>
      <c r="L16">
        <v>500</v>
      </c>
      <c r="M16">
        <v>25000</v>
      </c>
      <c r="N16">
        <f>Table1[[#This Row],[Units_Delivered]]-Table1[[#This Row],[Units_Sold]]</f>
        <v>10</v>
      </c>
      <c r="O16">
        <v>10000</v>
      </c>
    </row>
    <row r="17" spans="1:15" x14ac:dyDescent="0.2">
      <c r="A17" s="1">
        <v>45307</v>
      </c>
      <c r="B17" t="s">
        <v>23</v>
      </c>
      <c r="C17" t="s">
        <v>15</v>
      </c>
      <c r="D17" t="s">
        <v>16</v>
      </c>
      <c r="E17">
        <v>22</v>
      </c>
      <c r="F17">
        <v>92</v>
      </c>
      <c r="G17">
        <v>90</v>
      </c>
      <c r="H17">
        <v>3</v>
      </c>
      <c r="I17">
        <v>75</v>
      </c>
      <c r="J17">
        <v>400</v>
      </c>
      <c r="K17">
        <v>30000</v>
      </c>
      <c r="L17">
        <v>250</v>
      </c>
      <c r="M17">
        <v>18750</v>
      </c>
      <c r="N17">
        <f>Table1[[#This Row],[Units_Delivered]]-Table1[[#This Row],[Units_Sold]]</f>
        <v>15</v>
      </c>
      <c r="O17">
        <v>11250</v>
      </c>
    </row>
    <row r="18" spans="1:15" x14ac:dyDescent="0.2">
      <c r="A18" s="1">
        <v>45308</v>
      </c>
      <c r="B18" t="s">
        <v>14</v>
      </c>
      <c r="C18" t="s">
        <v>18</v>
      </c>
      <c r="D18" t="s">
        <v>19</v>
      </c>
      <c r="E18">
        <v>18</v>
      </c>
      <c r="F18">
        <v>128</v>
      </c>
      <c r="G18">
        <v>110</v>
      </c>
      <c r="H18">
        <v>6</v>
      </c>
      <c r="I18">
        <v>95</v>
      </c>
      <c r="J18">
        <v>300</v>
      </c>
      <c r="K18">
        <v>28500</v>
      </c>
      <c r="L18">
        <v>200</v>
      </c>
      <c r="M18">
        <v>19000</v>
      </c>
      <c r="N18">
        <f>Table1[[#This Row],[Units_Delivered]]-Table1[[#This Row],[Units_Sold]]</f>
        <v>15</v>
      </c>
      <c r="O18">
        <v>9500</v>
      </c>
    </row>
    <row r="19" spans="1:15" x14ac:dyDescent="0.2">
      <c r="A19" s="1">
        <v>45309</v>
      </c>
      <c r="B19" t="s">
        <v>17</v>
      </c>
      <c r="C19" t="s">
        <v>21</v>
      </c>
      <c r="D19" t="s">
        <v>22</v>
      </c>
      <c r="E19">
        <v>10</v>
      </c>
      <c r="F19">
        <v>108</v>
      </c>
      <c r="G19">
        <v>80</v>
      </c>
      <c r="H19">
        <v>8</v>
      </c>
      <c r="I19">
        <v>70</v>
      </c>
      <c r="J19">
        <v>500</v>
      </c>
      <c r="K19">
        <v>35000</v>
      </c>
      <c r="L19">
        <v>350</v>
      </c>
      <c r="M19">
        <v>24500</v>
      </c>
      <c r="N19">
        <f>Table1[[#This Row],[Units_Delivered]]-Table1[[#This Row],[Units_Sold]]</f>
        <v>10</v>
      </c>
      <c r="O19">
        <v>10500</v>
      </c>
    </row>
    <row r="20" spans="1:15" x14ac:dyDescent="0.2">
      <c r="A20" s="1">
        <v>45310</v>
      </c>
      <c r="B20" t="s">
        <v>20</v>
      </c>
      <c r="C20" t="s">
        <v>15</v>
      </c>
      <c r="D20" t="s">
        <v>24</v>
      </c>
      <c r="E20">
        <v>14</v>
      </c>
      <c r="F20">
        <v>92</v>
      </c>
      <c r="G20">
        <v>90</v>
      </c>
      <c r="H20">
        <v>4</v>
      </c>
      <c r="I20">
        <v>75</v>
      </c>
      <c r="J20">
        <v>700</v>
      </c>
      <c r="K20">
        <v>52500</v>
      </c>
      <c r="L20">
        <v>500</v>
      </c>
      <c r="M20">
        <v>37500</v>
      </c>
      <c r="N20">
        <f>Table1[[#This Row],[Units_Delivered]]-Table1[[#This Row],[Units_Sold]]</f>
        <v>15</v>
      </c>
      <c r="O20">
        <v>15000</v>
      </c>
    </row>
    <row r="21" spans="1:15" x14ac:dyDescent="0.2">
      <c r="A21" s="1">
        <v>45311</v>
      </c>
      <c r="B21" t="s">
        <v>23</v>
      </c>
      <c r="C21" t="s">
        <v>18</v>
      </c>
      <c r="D21" t="s">
        <v>25</v>
      </c>
      <c r="E21">
        <v>17</v>
      </c>
      <c r="F21">
        <v>87</v>
      </c>
      <c r="G21">
        <v>70</v>
      </c>
      <c r="H21">
        <v>6</v>
      </c>
      <c r="I21">
        <v>60</v>
      </c>
      <c r="J21">
        <v>400</v>
      </c>
      <c r="K21">
        <v>24000</v>
      </c>
      <c r="L21">
        <v>250</v>
      </c>
      <c r="M21">
        <v>15000</v>
      </c>
      <c r="N21">
        <f>Table1[[#This Row],[Units_Delivered]]-Table1[[#This Row],[Units_Sold]]</f>
        <v>10</v>
      </c>
      <c r="O21">
        <v>9000</v>
      </c>
    </row>
    <row r="22" spans="1:15" x14ac:dyDescent="0.2">
      <c r="A22" s="1">
        <v>45312</v>
      </c>
      <c r="B22" t="s">
        <v>14</v>
      </c>
      <c r="C22" t="s">
        <v>21</v>
      </c>
      <c r="D22" t="s">
        <v>16</v>
      </c>
      <c r="E22">
        <v>12</v>
      </c>
      <c r="F22">
        <v>130</v>
      </c>
      <c r="G22">
        <v>95</v>
      </c>
      <c r="H22">
        <v>9</v>
      </c>
      <c r="I22">
        <v>85</v>
      </c>
      <c r="J22">
        <v>300</v>
      </c>
      <c r="K22">
        <v>25500</v>
      </c>
      <c r="L22">
        <v>200</v>
      </c>
      <c r="M22">
        <v>17000</v>
      </c>
      <c r="N22">
        <f>Table1[[#This Row],[Units_Delivered]]-Table1[[#This Row],[Units_Sold]]</f>
        <v>10</v>
      </c>
      <c r="O22">
        <v>8500</v>
      </c>
    </row>
    <row r="23" spans="1:15" x14ac:dyDescent="0.2">
      <c r="A23" s="1">
        <v>45313</v>
      </c>
      <c r="B23" t="s">
        <v>17</v>
      </c>
      <c r="C23" t="s">
        <v>15</v>
      </c>
      <c r="D23" t="s">
        <v>19</v>
      </c>
      <c r="E23">
        <v>24</v>
      </c>
      <c r="F23">
        <v>110</v>
      </c>
      <c r="G23">
        <v>108</v>
      </c>
      <c r="H23">
        <v>4</v>
      </c>
      <c r="I23">
        <v>90</v>
      </c>
      <c r="J23">
        <v>500</v>
      </c>
      <c r="K23">
        <v>45000</v>
      </c>
      <c r="L23">
        <v>350</v>
      </c>
      <c r="M23">
        <v>31500</v>
      </c>
      <c r="N23">
        <f>Table1[[#This Row],[Units_Delivered]]-Table1[[#This Row],[Units_Sold]]</f>
        <v>18</v>
      </c>
      <c r="O23">
        <v>13500</v>
      </c>
    </row>
    <row r="24" spans="1:15" x14ac:dyDescent="0.2">
      <c r="A24" s="1">
        <v>45314</v>
      </c>
      <c r="B24" t="s">
        <v>20</v>
      </c>
      <c r="C24" t="s">
        <v>18</v>
      </c>
      <c r="D24" t="s">
        <v>22</v>
      </c>
      <c r="E24">
        <v>13</v>
      </c>
      <c r="F24">
        <v>95</v>
      </c>
      <c r="G24">
        <v>80</v>
      </c>
      <c r="H24">
        <v>6</v>
      </c>
      <c r="I24">
        <v>70</v>
      </c>
      <c r="J24">
        <v>700</v>
      </c>
      <c r="K24">
        <v>49000</v>
      </c>
      <c r="L24">
        <v>500</v>
      </c>
      <c r="M24">
        <v>35000</v>
      </c>
      <c r="N24">
        <f>Table1[[#This Row],[Units_Delivered]]-Table1[[#This Row],[Units_Sold]]</f>
        <v>10</v>
      </c>
      <c r="O24">
        <v>14000</v>
      </c>
    </row>
    <row r="25" spans="1:15" x14ac:dyDescent="0.2">
      <c r="A25" s="1">
        <v>45315</v>
      </c>
      <c r="B25" t="s">
        <v>23</v>
      </c>
      <c r="C25" t="s">
        <v>21</v>
      </c>
      <c r="D25" t="s">
        <v>24</v>
      </c>
      <c r="E25">
        <v>11</v>
      </c>
      <c r="F25">
        <v>85</v>
      </c>
      <c r="G25">
        <v>60</v>
      </c>
      <c r="H25">
        <v>9</v>
      </c>
      <c r="I25">
        <v>55</v>
      </c>
      <c r="J25">
        <v>400</v>
      </c>
      <c r="K25">
        <v>22000</v>
      </c>
      <c r="L25">
        <v>250</v>
      </c>
      <c r="M25">
        <v>13750</v>
      </c>
      <c r="N25">
        <f>Table1[[#This Row],[Units_Delivered]]-Table1[[#This Row],[Units_Sold]]</f>
        <v>5</v>
      </c>
      <c r="O25">
        <v>8250</v>
      </c>
    </row>
    <row r="26" spans="1:15" x14ac:dyDescent="0.2">
      <c r="A26" s="1">
        <v>45316</v>
      </c>
      <c r="B26" t="s">
        <v>14</v>
      </c>
      <c r="C26" t="s">
        <v>15</v>
      </c>
      <c r="D26" t="s">
        <v>25</v>
      </c>
      <c r="E26">
        <v>30</v>
      </c>
      <c r="F26">
        <v>140</v>
      </c>
      <c r="G26">
        <v>135</v>
      </c>
      <c r="H26">
        <v>3</v>
      </c>
      <c r="I26">
        <v>115</v>
      </c>
      <c r="J26">
        <v>300</v>
      </c>
      <c r="K26">
        <v>34500</v>
      </c>
      <c r="L26">
        <v>200</v>
      </c>
      <c r="M26">
        <v>23000</v>
      </c>
      <c r="N26">
        <f>Table1[[#This Row],[Units_Delivered]]-Table1[[#This Row],[Units_Sold]]</f>
        <v>20</v>
      </c>
      <c r="O26">
        <v>11500</v>
      </c>
    </row>
    <row r="27" spans="1:15" x14ac:dyDescent="0.2">
      <c r="A27" s="1">
        <v>45317</v>
      </c>
      <c r="B27" t="s">
        <v>17</v>
      </c>
      <c r="C27" t="s">
        <v>18</v>
      </c>
      <c r="D27" t="s">
        <v>16</v>
      </c>
      <c r="E27">
        <v>18</v>
      </c>
      <c r="F27">
        <v>120</v>
      </c>
      <c r="G27">
        <v>100</v>
      </c>
      <c r="H27">
        <v>7</v>
      </c>
      <c r="I27">
        <v>85</v>
      </c>
      <c r="J27">
        <v>500</v>
      </c>
      <c r="K27">
        <v>42500</v>
      </c>
      <c r="L27">
        <v>350</v>
      </c>
      <c r="M27">
        <v>29750</v>
      </c>
      <c r="N27">
        <f>Table1[[#This Row],[Units_Delivered]]-Table1[[#This Row],[Units_Sold]]</f>
        <v>15</v>
      </c>
      <c r="O27">
        <v>12750</v>
      </c>
    </row>
    <row r="28" spans="1:15" x14ac:dyDescent="0.2">
      <c r="A28" s="1">
        <v>45318</v>
      </c>
      <c r="B28" t="s">
        <v>20</v>
      </c>
      <c r="C28" t="s">
        <v>21</v>
      </c>
      <c r="D28" t="s">
        <v>19</v>
      </c>
      <c r="E28">
        <v>10</v>
      </c>
      <c r="F28">
        <v>90</v>
      </c>
      <c r="G28">
        <v>65</v>
      </c>
      <c r="H28">
        <v>9</v>
      </c>
      <c r="I28">
        <v>55</v>
      </c>
      <c r="J28">
        <v>700</v>
      </c>
      <c r="K28">
        <v>38500</v>
      </c>
      <c r="L28">
        <v>500</v>
      </c>
      <c r="M28">
        <v>27500</v>
      </c>
      <c r="N28">
        <f>Table1[[#This Row],[Units_Delivered]]-Table1[[#This Row],[Units_Sold]]</f>
        <v>10</v>
      </c>
      <c r="O28">
        <v>11000</v>
      </c>
    </row>
    <row r="29" spans="1:15" x14ac:dyDescent="0.2">
      <c r="A29" s="1">
        <v>45319</v>
      </c>
      <c r="B29" t="s">
        <v>23</v>
      </c>
      <c r="C29" t="s">
        <v>15</v>
      </c>
      <c r="D29" t="s">
        <v>22</v>
      </c>
      <c r="E29">
        <v>20</v>
      </c>
      <c r="F29">
        <v>100</v>
      </c>
      <c r="G29">
        <v>97</v>
      </c>
      <c r="H29">
        <v>3</v>
      </c>
      <c r="I29">
        <v>80</v>
      </c>
      <c r="J29">
        <v>400</v>
      </c>
      <c r="K29">
        <v>32000</v>
      </c>
      <c r="L29">
        <v>250</v>
      </c>
      <c r="M29">
        <v>20000</v>
      </c>
      <c r="N29">
        <f>Table1[[#This Row],[Units_Delivered]]-Table1[[#This Row],[Units_Sold]]</f>
        <v>17</v>
      </c>
      <c r="O29">
        <v>12000</v>
      </c>
    </row>
    <row r="30" spans="1:15" x14ac:dyDescent="0.2">
      <c r="A30" s="1">
        <v>45320</v>
      </c>
      <c r="B30" t="s">
        <v>14</v>
      </c>
      <c r="C30" t="s">
        <v>18</v>
      </c>
      <c r="D30" t="s">
        <v>24</v>
      </c>
      <c r="E30">
        <v>17</v>
      </c>
      <c r="F30">
        <v>135</v>
      </c>
      <c r="G30">
        <v>115</v>
      </c>
      <c r="H30">
        <v>6</v>
      </c>
      <c r="I30">
        <v>100</v>
      </c>
      <c r="J30">
        <v>300</v>
      </c>
      <c r="K30">
        <v>30000</v>
      </c>
      <c r="L30">
        <v>200</v>
      </c>
      <c r="M30">
        <v>20000</v>
      </c>
      <c r="N30">
        <f>Table1[[#This Row],[Units_Delivered]]-Table1[[#This Row],[Units_Sold]]</f>
        <v>15</v>
      </c>
      <c r="O30">
        <v>10000</v>
      </c>
    </row>
    <row r="31" spans="1:15" x14ac:dyDescent="0.2">
      <c r="A31" s="1">
        <v>45321</v>
      </c>
      <c r="B31" t="s">
        <v>17</v>
      </c>
      <c r="C31" t="s">
        <v>21</v>
      </c>
      <c r="D31" t="s">
        <v>25</v>
      </c>
      <c r="E31">
        <v>12</v>
      </c>
      <c r="F31">
        <v>115</v>
      </c>
      <c r="G31">
        <v>85</v>
      </c>
      <c r="H31">
        <v>8</v>
      </c>
      <c r="I31">
        <v>75</v>
      </c>
      <c r="J31">
        <v>500</v>
      </c>
      <c r="K31">
        <v>37500</v>
      </c>
      <c r="L31">
        <v>350</v>
      </c>
      <c r="M31">
        <v>26250</v>
      </c>
      <c r="N31">
        <f>Table1[[#This Row],[Units_Delivered]]-Table1[[#This Row],[Units_Sold]]</f>
        <v>10</v>
      </c>
      <c r="O31">
        <v>11250</v>
      </c>
    </row>
    <row r="32" spans="1:15" x14ac:dyDescent="0.2">
      <c r="A32" s="1">
        <v>45322</v>
      </c>
      <c r="B32" t="s">
        <v>20</v>
      </c>
      <c r="C32" t="s">
        <v>15</v>
      </c>
      <c r="D32" t="s">
        <v>16</v>
      </c>
      <c r="E32">
        <v>16</v>
      </c>
      <c r="F32">
        <v>100</v>
      </c>
      <c r="G32">
        <v>98</v>
      </c>
      <c r="H32">
        <v>4</v>
      </c>
      <c r="I32">
        <v>80</v>
      </c>
      <c r="J32">
        <v>700</v>
      </c>
      <c r="K32">
        <v>56000</v>
      </c>
      <c r="L32">
        <v>500</v>
      </c>
      <c r="M32">
        <v>40000</v>
      </c>
      <c r="N32">
        <f>Table1[[#This Row],[Units_Delivered]]-Table1[[#This Row],[Units_Sold]]</f>
        <v>18</v>
      </c>
      <c r="O32">
        <v>16000</v>
      </c>
    </row>
    <row r="33" spans="1:15" x14ac:dyDescent="0.2">
      <c r="A33" s="1">
        <v>45323</v>
      </c>
      <c r="B33" t="s">
        <v>23</v>
      </c>
      <c r="C33" t="s">
        <v>18</v>
      </c>
      <c r="D33" t="s">
        <v>19</v>
      </c>
      <c r="E33">
        <v>15</v>
      </c>
      <c r="F33">
        <v>90</v>
      </c>
      <c r="G33">
        <v>75</v>
      </c>
      <c r="H33">
        <v>6</v>
      </c>
      <c r="I33">
        <v>65</v>
      </c>
      <c r="J33">
        <v>400</v>
      </c>
      <c r="K33">
        <v>26000</v>
      </c>
      <c r="L33">
        <v>250</v>
      </c>
      <c r="M33">
        <v>16250</v>
      </c>
      <c r="N33">
        <f>Table1[[#This Row],[Units_Delivered]]-Table1[[#This Row],[Units_Sold]]</f>
        <v>10</v>
      </c>
      <c r="O33">
        <v>9750</v>
      </c>
    </row>
    <row r="34" spans="1:15" x14ac:dyDescent="0.2">
      <c r="A34" s="1">
        <v>45324</v>
      </c>
      <c r="B34" t="s">
        <v>14</v>
      </c>
      <c r="C34" t="s">
        <v>21</v>
      </c>
      <c r="D34" t="s">
        <v>22</v>
      </c>
      <c r="E34">
        <v>11</v>
      </c>
      <c r="F34">
        <v>130</v>
      </c>
      <c r="G34">
        <v>95</v>
      </c>
      <c r="H34">
        <v>9</v>
      </c>
      <c r="I34">
        <v>85</v>
      </c>
      <c r="J34">
        <v>300</v>
      </c>
      <c r="K34">
        <v>25500</v>
      </c>
      <c r="L34">
        <v>200</v>
      </c>
      <c r="M34">
        <v>17000</v>
      </c>
      <c r="N34">
        <f>Table1[[#This Row],[Units_Delivered]]-Table1[[#This Row],[Units_Sold]]</f>
        <v>10</v>
      </c>
      <c r="O34">
        <v>8500</v>
      </c>
    </row>
    <row r="35" spans="1:15" x14ac:dyDescent="0.2">
      <c r="A35" s="1">
        <v>45325</v>
      </c>
      <c r="B35" t="s">
        <v>17</v>
      </c>
      <c r="C35" t="s">
        <v>15</v>
      </c>
      <c r="D35" t="s">
        <v>24</v>
      </c>
      <c r="E35">
        <v>22</v>
      </c>
      <c r="F35">
        <v>120</v>
      </c>
      <c r="G35">
        <v>118</v>
      </c>
      <c r="H35">
        <v>4</v>
      </c>
      <c r="I35">
        <v>95</v>
      </c>
      <c r="J35">
        <v>500</v>
      </c>
      <c r="K35">
        <v>47500</v>
      </c>
      <c r="L35">
        <v>350</v>
      </c>
      <c r="M35">
        <v>33250</v>
      </c>
      <c r="N35">
        <f>Table1[[#This Row],[Units_Delivered]]-Table1[[#This Row],[Units_Sold]]</f>
        <v>23</v>
      </c>
      <c r="O35">
        <v>14250</v>
      </c>
    </row>
    <row r="36" spans="1:15" x14ac:dyDescent="0.2">
      <c r="A36" s="1">
        <v>45326</v>
      </c>
      <c r="B36" t="s">
        <v>20</v>
      </c>
      <c r="C36" t="s">
        <v>18</v>
      </c>
      <c r="D36" t="s">
        <v>25</v>
      </c>
      <c r="E36">
        <v>14</v>
      </c>
      <c r="F36">
        <v>95</v>
      </c>
      <c r="G36">
        <v>80</v>
      </c>
      <c r="H36">
        <v>6</v>
      </c>
      <c r="I36">
        <v>70</v>
      </c>
      <c r="J36">
        <v>700</v>
      </c>
      <c r="K36">
        <v>49000</v>
      </c>
      <c r="L36">
        <v>500</v>
      </c>
      <c r="M36">
        <v>35000</v>
      </c>
      <c r="N36">
        <f>Table1[[#This Row],[Units_Delivered]]-Table1[[#This Row],[Units_Sold]]</f>
        <v>10</v>
      </c>
      <c r="O36">
        <v>14000</v>
      </c>
    </row>
    <row r="37" spans="1:15" x14ac:dyDescent="0.2">
      <c r="A37" s="1">
        <v>45327</v>
      </c>
      <c r="B37" t="s">
        <v>23</v>
      </c>
      <c r="C37" t="s">
        <v>21</v>
      </c>
      <c r="D37" t="s">
        <v>16</v>
      </c>
      <c r="E37">
        <v>10</v>
      </c>
      <c r="F37">
        <v>85</v>
      </c>
      <c r="G37">
        <v>60</v>
      </c>
      <c r="H37">
        <v>9</v>
      </c>
      <c r="I37">
        <v>55</v>
      </c>
      <c r="J37">
        <v>400</v>
      </c>
      <c r="K37">
        <v>22000</v>
      </c>
      <c r="L37">
        <v>250</v>
      </c>
      <c r="M37">
        <v>13750</v>
      </c>
      <c r="N37">
        <f>Table1[[#This Row],[Units_Delivered]]-Table1[[#This Row],[Units_Sold]]</f>
        <v>5</v>
      </c>
      <c r="O37">
        <v>8250</v>
      </c>
    </row>
    <row r="38" spans="1:15" x14ac:dyDescent="0.2">
      <c r="A38" s="1">
        <v>45328</v>
      </c>
      <c r="B38" t="s">
        <v>14</v>
      </c>
      <c r="C38" t="s">
        <v>15</v>
      </c>
      <c r="D38" t="s">
        <v>19</v>
      </c>
      <c r="E38">
        <v>28</v>
      </c>
      <c r="F38">
        <v>140</v>
      </c>
      <c r="G38">
        <v>135</v>
      </c>
      <c r="H38">
        <v>3</v>
      </c>
      <c r="I38">
        <v>115</v>
      </c>
      <c r="J38">
        <v>300</v>
      </c>
      <c r="K38">
        <v>34500</v>
      </c>
      <c r="L38">
        <v>200</v>
      </c>
      <c r="M38">
        <v>23000</v>
      </c>
      <c r="N38">
        <f>Table1[[#This Row],[Units_Delivered]]-Table1[[#This Row],[Units_Sold]]</f>
        <v>20</v>
      </c>
      <c r="O38">
        <v>11500</v>
      </c>
    </row>
    <row r="39" spans="1:15" x14ac:dyDescent="0.2">
      <c r="A39" s="1">
        <v>45329</v>
      </c>
      <c r="B39" t="s">
        <v>17</v>
      </c>
      <c r="C39" t="s">
        <v>18</v>
      </c>
      <c r="D39" t="s">
        <v>22</v>
      </c>
      <c r="E39">
        <v>16</v>
      </c>
      <c r="F39">
        <v>110</v>
      </c>
      <c r="G39">
        <v>90</v>
      </c>
      <c r="H39">
        <v>7</v>
      </c>
      <c r="I39">
        <v>80</v>
      </c>
      <c r="J39">
        <v>500</v>
      </c>
      <c r="K39">
        <v>40000</v>
      </c>
      <c r="L39">
        <v>350</v>
      </c>
      <c r="M39">
        <v>28000</v>
      </c>
      <c r="N39">
        <f>Table1[[#This Row],[Units_Delivered]]-Table1[[#This Row],[Units_Sold]]</f>
        <v>10</v>
      </c>
      <c r="O39">
        <v>12000</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Pivot Tables</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Henrietta Mensah</dc:creator>
  <cp:lastModifiedBy>Henrietta Mensah</cp:lastModifiedBy>
  <dcterms:created xsi:type="dcterms:W3CDTF">2026-04-03T21:22:38Z</dcterms:created>
  <dcterms:modified xsi:type="dcterms:W3CDTF">2026-04-04T22:13:20Z</dcterms:modified>
</cp:coreProperties>
</file>