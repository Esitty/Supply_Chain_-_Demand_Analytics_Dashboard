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naanaesi/Desktop/Dashboard Projects/Supply chain dashboard/"/>
    </mc:Choice>
  </mc:AlternateContent>
  <xr:revisionPtr revIDLastSave="0" documentId="8_{E29516FF-8193-B740-8684-3D9489F2DB1D}" xr6:coauthVersionLast="47" xr6:coauthVersionMax="47" xr10:uidLastSave="{00000000-0000-0000-0000-000000000000}"/>
  <bookViews>
    <workbookView xWindow="0" yWindow="660" windowWidth="29400" windowHeight="18460" xr2:uid="{6C2BC291-1B18-E74A-B709-8761B91B52D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9" i="1" l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<sst xmlns="http://schemas.openxmlformats.org/spreadsheetml/2006/main" count="129" uniqueCount="27">
  <si>
    <t>Date</t>
  </si>
  <si>
    <t>Product_Type</t>
  </si>
  <si>
    <t>Supplier</t>
  </si>
  <si>
    <t>Warehouse_Location</t>
  </si>
  <si>
    <t>Inventory_Level</t>
  </si>
  <si>
    <t>Units_Ordered</t>
  </si>
  <si>
    <t>Units_Delivered</t>
  </si>
  <si>
    <t>Delivery_Time</t>
  </si>
  <si>
    <t>Units_Sold</t>
  </si>
  <si>
    <t>Price_per_Unit</t>
  </si>
  <si>
    <t>Revenue</t>
  </si>
  <si>
    <t>Cost_per_Unit</t>
  </si>
  <si>
    <t>Total_Cost</t>
  </si>
  <si>
    <t>Inventory gap</t>
  </si>
  <si>
    <t>Profit</t>
  </si>
  <si>
    <t>Solar Panel</t>
  </si>
  <si>
    <t>Supplier A</t>
  </si>
  <si>
    <t>Berlin</t>
  </si>
  <si>
    <t>Battery</t>
  </si>
  <si>
    <t>Supplier B</t>
  </si>
  <si>
    <t>Hamburg</t>
  </si>
  <si>
    <t>Heat Pump</t>
  </si>
  <si>
    <t>Supplier C</t>
  </si>
  <si>
    <t>Munich</t>
  </si>
  <si>
    <t>EV Charger</t>
  </si>
  <si>
    <t>Frankfurt</t>
  </si>
  <si>
    <t>Cologne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</si>
</sst>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entury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A43880-64B2-294F-AD64-6F8005ACC30E}" name="Table1" displayName="Table1" ref="A1:O39" totalsRowShown="0">
  <autoFilter ref="A1:O39" xr:uid="{1447E76B-FDCC-1F4D-8E44-B11223151A88}"/>
  <tableColumns count="15">
    <tableColumn id="1" xr3:uid="{2E1DEAD3-22A1-EA44-AFB5-1B3A1D41B480}" name="Date" dataDxfId="1"/>
    <tableColumn id="2" xr3:uid="{32FFBB88-441B-1A40-8847-D330BB39A646}" name="Product_Type"/>
    <tableColumn id="3" xr3:uid="{4DDC8CF6-734D-B945-95FD-E75895A9D1EE}" name="Supplier"/>
    <tableColumn id="4" xr3:uid="{87C18DDF-36EB-3240-9240-C7FD1FB1AB8A}" name="Warehouse_Location"/>
    <tableColumn id="5" xr3:uid="{B1C9DC28-7147-774C-841C-BB1AF2B618CF}" name="Inventory_Level"/>
    <tableColumn id="6" xr3:uid="{F88B4CF1-4CA5-AE4E-B6C2-08D5A3B48BF2}" name="Units_Ordered"/>
    <tableColumn id="7" xr3:uid="{CDC32A21-6D61-AE4C-83D4-C34888B727AC}" name="Units_Delivered"/>
    <tableColumn id="8" xr3:uid="{8140D34C-7BEF-B547-9B57-5EFD189489D2}" name="Delivery_Time"/>
    <tableColumn id="9" xr3:uid="{9935FF4F-E7CD-434F-AC7A-6B762B6F8E0E}" name="Units_Sold"/>
    <tableColumn id="10" xr3:uid="{5F418CEA-CF35-5043-8C35-CF24116A2DF8}" name="Price_per_Unit"/>
    <tableColumn id="11" xr3:uid="{CBBF2730-E42A-A84D-A0EA-38C03C4702D0}" name="Revenue"/>
    <tableColumn id="12" xr3:uid="{3D0A2054-D1D0-ED44-898F-1EDE0AA63C48}" name="Cost_per_Unit"/>
    <tableColumn id="13" xr3:uid="{6AF3D6B3-E3D4-D54A-B7E9-47B62B228C6F}" name="Total_Cost"/>
    <tableColumn id="15" xr3:uid="{724FF194-68E7-DF45-9FF7-D1C83AA6CFFF}" name="Inventory gap" dataDxfId="0">
      <calculatedColumnFormula>Table1[[#This Row],[Units_Delivered]]-Table1[[#This Row],[Units_Sold]]</calculatedColumnFormula>
    </tableColumn>
    <tableColumn id="14" xr3:uid="{77A7D6F5-9474-544A-870B-4B4575A390A5}" name="Profit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on Boardroom">
  <a:themeElements>
    <a:clrScheme name="Violet II">
      <a:dk1>
        <a:sysClr val="windowText" lastClr="000000"/>
      </a:dk1>
      <a:lt1>
        <a:sysClr val="window" lastClr="FFFFFF"/>
      </a:lt1>
      <a:dk2>
        <a:srgbClr val="632E62"/>
      </a:dk2>
      <a:lt2>
        <a:srgbClr val="EAE5EB"/>
      </a:lt2>
      <a:accent1>
        <a:srgbClr val="92278F"/>
      </a:accent1>
      <a:accent2>
        <a:srgbClr val="9B57D3"/>
      </a:accent2>
      <a:accent3>
        <a:srgbClr val="755DD9"/>
      </a:accent3>
      <a:accent4>
        <a:srgbClr val="665EB8"/>
      </a:accent4>
      <a:accent5>
        <a:srgbClr val="45A5ED"/>
      </a:accent5>
      <a:accent6>
        <a:srgbClr val="5982DB"/>
      </a:accent6>
      <a:hlink>
        <a:srgbClr val="0066FF"/>
      </a:hlink>
      <a:folHlink>
        <a:srgbClr val="666699"/>
      </a:folHlink>
    </a:clrScheme>
    <a:fontScheme name="Ion Boardroom">
      <a:maj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Ion Boardroom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8000"/>
                <a:hueMod val="124000"/>
                <a:satMod val="148000"/>
                <a:lumMod val="124000"/>
              </a:schemeClr>
            </a:gs>
            <a:gs pos="100000">
              <a:schemeClr val="phClr">
                <a:shade val="76000"/>
                <a:hueMod val="89000"/>
                <a:satMod val="164000"/>
                <a:lumMod val="5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91000"/>
                <a:satMod val="164000"/>
                <a:lumMod val="74000"/>
              </a:schemeClr>
              <a:schemeClr val="phClr">
                <a:hueMod val="124000"/>
                <a:satMod val="140000"/>
                <a:lumMod val="14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 Boardroom" id="{FC33163D-4339-46B1-8EED-24C834239D99}" vid="{B8502691-933B-45FE-8764-BA278511EF27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3A42D-FEAE-A949-B441-42821F70A656}">
  <dimension ref="A1:O39"/>
  <sheetViews>
    <sheetView tabSelected="1" workbookViewId="0">
      <selection activeCell="N3" sqref="N3"/>
    </sheetView>
  </sheetViews>
  <sheetFormatPr baseColWidth="10" defaultRowHeight="16" x14ac:dyDescent="0.2"/>
  <cols>
    <col min="2" max="2" width="14.42578125" customWidth="1"/>
    <col min="4" max="4" width="20.7109375" customWidth="1"/>
    <col min="5" max="5" width="16" customWidth="1"/>
    <col min="6" max="6" width="15.28515625" customWidth="1"/>
    <col min="7" max="7" width="16.42578125" customWidth="1"/>
    <col min="8" max="8" width="14.85546875" customWidth="1"/>
    <col min="9" max="9" width="12" customWidth="1"/>
    <col min="10" max="10" width="15.42578125" customWidth="1"/>
    <col min="12" max="12" width="15" customWidth="1"/>
    <col min="13" max="14" width="12.2851562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s="1">
        <v>45292</v>
      </c>
      <c r="B2" t="s">
        <v>15</v>
      </c>
      <c r="C2" t="s">
        <v>16</v>
      </c>
      <c r="D2" t="s">
        <v>17</v>
      </c>
      <c r="E2">
        <v>30</v>
      </c>
      <c r="F2">
        <v>120</v>
      </c>
      <c r="G2">
        <v>115</v>
      </c>
      <c r="H2">
        <v>4</v>
      </c>
      <c r="I2">
        <v>95</v>
      </c>
      <c r="J2">
        <v>300</v>
      </c>
      <c r="K2">
        <v>28500</v>
      </c>
      <c r="L2">
        <v>200</v>
      </c>
      <c r="M2">
        <v>19000</v>
      </c>
      <c r="N2">
        <f>Table1[[#This Row],[Units_Delivered]]-Table1[[#This Row],[Units_Sold]]</f>
        <v>20</v>
      </c>
      <c r="O2">
        <v>9500</v>
      </c>
    </row>
    <row r="3" spans="1:15" x14ac:dyDescent="0.2">
      <c r="A3" s="1">
        <v>45293</v>
      </c>
      <c r="B3" t="s">
        <v>18</v>
      </c>
      <c r="C3" t="s">
        <v>19</v>
      </c>
      <c r="D3" t="s">
        <v>20</v>
      </c>
      <c r="E3">
        <v>20</v>
      </c>
      <c r="F3">
        <v>100</v>
      </c>
      <c r="G3">
        <v>85</v>
      </c>
      <c r="H3">
        <v>7</v>
      </c>
      <c r="I3">
        <v>75</v>
      </c>
      <c r="J3">
        <v>500</v>
      </c>
      <c r="K3">
        <v>37500</v>
      </c>
      <c r="L3">
        <v>350</v>
      </c>
      <c r="M3">
        <v>26250</v>
      </c>
      <c r="N3">
        <f>Table1[[#This Row],[Units_Delivered]]-Table1[[#This Row],[Units_Sold]]</f>
        <v>10</v>
      </c>
      <c r="O3">
        <v>11250</v>
      </c>
    </row>
    <row r="4" spans="1:15" x14ac:dyDescent="0.2">
      <c r="A4" s="1">
        <v>45294</v>
      </c>
      <c r="B4" t="s">
        <v>21</v>
      </c>
      <c r="C4" t="s">
        <v>22</v>
      </c>
      <c r="D4" t="s">
        <v>23</v>
      </c>
      <c r="E4">
        <v>10</v>
      </c>
      <c r="F4">
        <v>80</v>
      </c>
      <c r="G4">
        <v>60</v>
      </c>
      <c r="H4">
        <v>9</v>
      </c>
      <c r="I4">
        <v>55</v>
      </c>
      <c r="J4">
        <v>700</v>
      </c>
      <c r="K4">
        <v>38500</v>
      </c>
      <c r="L4">
        <v>500</v>
      </c>
      <c r="M4">
        <v>27500</v>
      </c>
      <c r="N4">
        <f>Table1[[#This Row],[Units_Delivered]]-Table1[[#This Row],[Units_Sold]]</f>
        <v>5</v>
      </c>
      <c r="O4">
        <v>11000</v>
      </c>
    </row>
    <row r="5" spans="1:15" x14ac:dyDescent="0.2">
      <c r="A5" s="1">
        <v>45295</v>
      </c>
      <c r="B5" t="s">
        <v>24</v>
      </c>
      <c r="C5" t="s">
        <v>16</v>
      </c>
      <c r="D5" t="s">
        <v>25</v>
      </c>
      <c r="E5">
        <v>25</v>
      </c>
      <c r="F5">
        <v>90</v>
      </c>
      <c r="G5">
        <v>88</v>
      </c>
      <c r="H5">
        <v>3</v>
      </c>
      <c r="I5">
        <v>70</v>
      </c>
      <c r="J5">
        <v>400</v>
      </c>
      <c r="K5">
        <v>28000</v>
      </c>
      <c r="L5">
        <v>250</v>
      </c>
      <c r="M5">
        <v>17500</v>
      </c>
      <c r="N5">
        <f>Table1[[#This Row],[Units_Delivered]]-Table1[[#This Row],[Units_Sold]]</f>
        <v>18</v>
      </c>
      <c r="O5">
        <v>10500</v>
      </c>
    </row>
    <row r="6" spans="1:15" x14ac:dyDescent="0.2">
      <c r="A6" s="1">
        <v>45296</v>
      </c>
      <c r="B6" t="s">
        <v>15</v>
      </c>
      <c r="C6" t="s">
        <v>19</v>
      </c>
      <c r="D6" t="s">
        <v>26</v>
      </c>
      <c r="E6">
        <v>18</v>
      </c>
      <c r="F6">
        <v>130</v>
      </c>
      <c r="G6">
        <v>110</v>
      </c>
      <c r="H6">
        <v>6</v>
      </c>
      <c r="I6">
        <v>95</v>
      </c>
      <c r="J6">
        <v>300</v>
      </c>
      <c r="K6">
        <v>28500</v>
      </c>
      <c r="L6">
        <v>200</v>
      </c>
      <c r="M6">
        <v>19000</v>
      </c>
      <c r="N6">
        <f>Table1[[#This Row],[Units_Delivered]]-Table1[[#This Row],[Units_Sold]]</f>
        <v>15</v>
      </c>
      <c r="O6">
        <v>9500</v>
      </c>
    </row>
    <row r="7" spans="1:15" x14ac:dyDescent="0.2">
      <c r="A7" s="1">
        <v>45297</v>
      </c>
      <c r="B7" t="s">
        <v>18</v>
      </c>
      <c r="C7" t="s">
        <v>22</v>
      </c>
      <c r="D7" t="s">
        <v>17</v>
      </c>
      <c r="E7">
        <v>12</v>
      </c>
      <c r="F7">
        <v>110</v>
      </c>
      <c r="G7">
        <v>85</v>
      </c>
      <c r="H7">
        <v>8</v>
      </c>
      <c r="I7">
        <v>70</v>
      </c>
      <c r="J7">
        <v>500</v>
      </c>
      <c r="K7">
        <v>35000</v>
      </c>
      <c r="L7">
        <v>350</v>
      </c>
      <c r="M7">
        <v>24500</v>
      </c>
      <c r="N7">
        <f>Table1[[#This Row],[Units_Delivered]]-Table1[[#This Row],[Units_Sold]]</f>
        <v>15</v>
      </c>
      <c r="O7">
        <v>10500</v>
      </c>
    </row>
    <row r="8" spans="1:15" x14ac:dyDescent="0.2">
      <c r="A8" s="1">
        <v>45298</v>
      </c>
      <c r="B8" t="s">
        <v>21</v>
      </c>
      <c r="C8" t="s">
        <v>16</v>
      </c>
      <c r="D8" t="s">
        <v>20</v>
      </c>
      <c r="E8">
        <v>15</v>
      </c>
      <c r="F8">
        <v>95</v>
      </c>
      <c r="G8">
        <v>92</v>
      </c>
      <c r="H8">
        <v>4</v>
      </c>
      <c r="I8">
        <v>80</v>
      </c>
      <c r="J8">
        <v>700</v>
      </c>
      <c r="K8">
        <v>56000</v>
      </c>
      <c r="L8">
        <v>500</v>
      </c>
      <c r="M8">
        <v>40000</v>
      </c>
      <c r="N8">
        <f>Table1[[#This Row],[Units_Delivered]]-Table1[[#This Row],[Units_Sold]]</f>
        <v>12</v>
      </c>
      <c r="O8">
        <v>16000</v>
      </c>
    </row>
    <row r="9" spans="1:15" x14ac:dyDescent="0.2">
      <c r="A9" s="1">
        <v>45299</v>
      </c>
      <c r="B9" t="s">
        <v>24</v>
      </c>
      <c r="C9" t="s">
        <v>19</v>
      </c>
      <c r="D9" t="s">
        <v>23</v>
      </c>
      <c r="E9">
        <v>16</v>
      </c>
      <c r="F9">
        <v>85</v>
      </c>
      <c r="G9">
        <v>70</v>
      </c>
      <c r="H9">
        <v>6</v>
      </c>
      <c r="I9">
        <v>60</v>
      </c>
      <c r="J9">
        <v>400</v>
      </c>
      <c r="K9">
        <v>24000</v>
      </c>
      <c r="L9">
        <v>250</v>
      </c>
      <c r="M9">
        <v>15000</v>
      </c>
      <c r="N9">
        <f>Table1[[#This Row],[Units_Delivered]]-Table1[[#This Row],[Units_Sold]]</f>
        <v>10</v>
      </c>
      <c r="O9">
        <v>9000</v>
      </c>
    </row>
    <row r="10" spans="1:15" x14ac:dyDescent="0.2">
      <c r="A10" s="1">
        <v>45300</v>
      </c>
      <c r="B10" t="s">
        <v>15</v>
      </c>
      <c r="C10" t="s">
        <v>22</v>
      </c>
      <c r="D10" t="s">
        <v>25</v>
      </c>
      <c r="E10">
        <v>10</v>
      </c>
      <c r="F10">
        <v>140</v>
      </c>
      <c r="G10">
        <v>105</v>
      </c>
      <c r="H10">
        <v>9</v>
      </c>
      <c r="I10">
        <v>95</v>
      </c>
      <c r="J10">
        <v>300</v>
      </c>
      <c r="K10">
        <v>28500</v>
      </c>
      <c r="L10">
        <v>200</v>
      </c>
      <c r="M10">
        <v>19000</v>
      </c>
      <c r="N10">
        <f>Table1[[#This Row],[Units_Delivered]]-Table1[[#This Row],[Units_Sold]]</f>
        <v>10</v>
      </c>
      <c r="O10">
        <v>9500</v>
      </c>
    </row>
    <row r="11" spans="1:15" x14ac:dyDescent="0.2">
      <c r="A11" s="1">
        <v>45301</v>
      </c>
      <c r="B11" t="s">
        <v>18</v>
      </c>
      <c r="C11" t="s">
        <v>16</v>
      </c>
      <c r="D11" t="s">
        <v>26</v>
      </c>
      <c r="E11">
        <v>20</v>
      </c>
      <c r="F11">
        <v>105</v>
      </c>
      <c r="G11">
        <v>100</v>
      </c>
      <c r="H11">
        <v>4</v>
      </c>
      <c r="I11">
        <v>85</v>
      </c>
      <c r="J11">
        <v>500</v>
      </c>
      <c r="K11">
        <v>42500</v>
      </c>
      <c r="L11">
        <v>350</v>
      </c>
      <c r="M11">
        <v>29750</v>
      </c>
      <c r="N11">
        <f>Table1[[#This Row],[Units_Delivered]]-Table1[[#This Row],[Units_Sold]]</f>
        <v>15</v>
      </c>
      <c r="O11">
        <v>12750</v>
      </c>
    </row>
    <row r="12" spans="1:15" x14ac:dyDescent="0.2">
      <c r="A12" s="1">
        <v>45302</v>
      </c>
      <c r="B12" t="s">
        <v>21</v>
      </c>
      <c r="C12" t="s">
        <v>19</v>
      </c>
      <c r="D12" t="s">
        <v>17</v>
      </c>
      <c r="E12">
        <v>14</v>
      </c>
      <c r="F12">
        <v>90</v>
      </c>
      <c r="G12">
        <v>75</v>
      </c>
      <c r="H12">
        <v>6</v>
      </c>
      <c r="I12">
        <v>65</v>
      </c>
      <c r="J12">
        <v>700</v>
      </c>
      <c r="K12">
        <v>45500</v>
      </c>
      <c r="L12">
        <v>500</v>
      </c>
      <c r="M12">
        <v>32500</v>
      </c>
      <c r="N12">
        <f>Table1[[#This Row],[Units_Delivered]]-Table1[[#This Row],[Units_Sold]]</f>
        <v>10</v>
      </c>
      <c r="O12">
        <v>13000</v>
      </c>
    </row>
    <row r="13" spans="1:15" x14ac:dyDescent="0.2">
      <c r="A13" s="1">
        <v>45303</v>
      </c>
      <c r="B13" t="s">
        <v>24</v>
      </c>
      <c r="C13" t="s">
        <v>22</v>
      </c>
      <c r="D13" t="s">
        <v>20</v>
      </c>
      <c r="E13">
        <v>12</v>
      </c>
      <c r="F13">
        <v>88</v>
      </c>
      <c r="G13">
        <v>65</v>
      </c>
      <c r="H13">
        <v>8</v>
      </c>
      <c r="I13">
        <v>55</v>
      </c>
      <c r="J13">
        <v>400</v>
      </c>
      <c r="K13">
        <v>22000</v>
      </c>
      <c r="L13">
        <v>250</v>
      </c>
      <c r="M13">
        <v>13750</v>
      </c>
      <c r="N13">
        <f>Table1[[#This Row],[Units_Delivered]]-Table1[[#This Row],[Units_Sold]]</f>
        <v>10</v>
      </c>
      <c r="O13">
        <v>8250</v>
      </c>
    </row>
    <row r="14" spans="1:15" x14ac:dyDescent="0.2">
      <c r="A14" s="1">
        <v>45304</v>
      </c>
      <c r="B14" t="s">
        <v>15</v>
      </c>
      <c r="C14" t="s">
        <v>16</v>
      </c>
      <c r="D14" t="s">
        <v>23</v>
      </c>
      <c r="E14">
        <v>28</v>
      </c>
      <c r="F14">
        <v>135</v>
      </c>
      <c r="G14">
        <v>130</v>
      </c>
      <c r="H14">
        <v>3</v>
      </c>
      <c r="I14">
        <v>110</v>
      </c>
      <c r="J14">
        <v>300</v>
      </c>
      <c r="K14">
        <v>33000</v>
      </c>
      <c r="L14">
        <v>200</v>
      </c>
      <c r="M14">
        <v>22000</v>
      </c>
      <c r="N14">
        <f>Table1[[#This Row],[Units_Delivered]]-Table1[[#This Row],[Units_Sold]]</f>
        <v>20</v>
      </c>
      <c r="O14">
        <v>11000</v>
      </c>
    </row>
    <row r="15" spans="1:15" x14ac:dyDescent="0.2">
      <c r="A15" s="1">
        <v>45305</v>
      </c>
      <c r="B15" t="s">
        <v>18</v>
      </c>
      <c r="C15" t="s">
        <v>19</v>
      </c>
      <c r="D15" t="s">
        <v>25</v>
      </c>
      <c r="E15">
        <v>16</v>
      </c>
      <c r="F15">
        <v>115</v>
      </c>
      <c r="G15">
        <v>95</v>
      </c>
      <c r="H15">
        <v>6</v>
      </c>
      <c r="I15">
        <v>80</v>
      </c>
      <c r="J15">
        <v>500</v>
      </c>
      <c r="K15">
        <v>40000</v>
      </c>
      <c r="L15">
        <v>350</v>
      </c>
      <c r="M15">
        <v>28000</v>
      </c>
      <c r="N15">
        <f>Table1[[#This Row],[Units_Delivered]]-Table1[[#This Row],[Units_Sold]]</f>
        <v>15</v>
      </c>
      <c r="O15">
        <v>12000</v>
      </c>
    </row>
    <row r="16" spans="1:15" x14ac:dyDescent="0.2">
      <c r="A16" s="1">
        <v>45306</v>
      </c>
      <c r="B16" t="s">
        <v>21</v>
      </c>
      <c r="C16" t="s">
        <v>22</v>
      </c>
      <c r="D16" t="s">
        <v>26</v>
      </c>
      <c r="E16">
        <v>9</v>
      </c>
      <c r="F16">
        <v>85</v>
      </c>
      <c r="G16">
        <v>60</v>
      </c>
      <c r="H16">
        <v>9</v>
      </c>
      <c r="I16">
        <v>50</v>
      </c>
      <c r="J16">
        <v>700</v>
      </c>
      <c r="K16">
        <v>35000</v>
      </c>
      <c r="L16">
        <v>500</v>
      </c>
      <c r="M16">
        <v>25000</v>
      </c>
      <c r="N16">
        <f>Table1[[#This Row],[Units_Delivered]]-Table1[[#This Row],[Units_Sold]]</f>
        <v>10</v>
      </c>
      <c r="O16">
        <v>10000</v>
      </c>
    </row>
    <row r="17" spans="1:15" x14ac:dyDescent="0.2">
      <c r="A17" s="1">
        <v>45307</v>
      </c>
      <c r="B17" t="s">
        <v>24</v>
      </c>
      <c r="C17" t="s">
        <v>16</v>
      </c>
      <c r="D17" t="s">
        <v>17</v>
      </c>
      <c r="E17">
        <v>22</v>
      </c>
      <c r="F17">
        <v>92</v>
      </c>
      <c r="G17">
        <v>90</v>
      </c>
      <c r="H17">
        <v>3</v>
      </c>
      <c r="I17">
        <v>75</v>
      </c>
      <c r="J17">
        <v>400</v>
      </c>
      <c r="K17">
        <v>30000</v>
      </c>
      <c r="L17">
        <v>250</v>
      </c>
      <c r="M17">
        <v>18750</v>
      </c>
      <c r="N17">
        <f>Table1[[#This Row],[Units_Delivered]]-Table1[[#This Row],[Units_Sold]]</f>
        <v>15</v>
      </c>
      <c r="O17">
        <v>11250</v>
      </c>
    </row>
    <row r="18" spans="1:15" x14ac:dyDescent="0.2">
      <c r="A18" s="1">
        <v>45308</v>
      </c>
      <c r="B18" t="s">
        <v>15</v>
      </c>
      <c r="C18" t="s">
        <v>19</v>
      </c>
      <c r="D18" t="s">
        <v>20</v>
      </c>
      <c r="E18">
        <v>18</v>
      </c>
      <c r="F18">
        <v>128</v>
      </c>
      <c r="G18">
        <v>110</v>
      </c>
      <c r="H18">
        <v>6</v>
      </c>
      <c r="I18">
        <v>95</v>
      </c>
      <c r="J18">
        <v>300</v>
      </c>
      <c r="K18">
        <v>28500</v>
      </c>
      <c r="L18">
        <v>200</v>
      </c>
      <c r="M18">
        <v>19000</v>
      </c>
      <c r="N18">
        <f>Table1[[#This Row],[Units_Delivered]]-Table1[[#This Row],[Units_Sold]]</f>
        <v>15</v>
      </c>
      <c r="O18">
        <v>9500</v>
      </c>
    </row>
    <row r="19" spans="1:15" x14ac:dyDescent="0.2">
      <c r="A19" s="1">
        <v>45309</v>
      </c>
      <c r="B19" t="s">
        <v>18</v>
      </c>
      <c r="C19" t="s">
        <v>22</v>
      </c>
      <c r="D19" t="s">
        <v>23</v>
      </c>
      <c r="E19">
        <v>10</v>
      </c>
      <c r="F19">
        <v>108</v>
      </c>
      <c r="G19">
        <v>80</v>
      </c>
      <c r="H19">
        <v>8</v>
      </c>
      <c r="I19">
        <v>70</v>
      </c>
      <c r="J19">
        <v>500</v>
      </c>
      <c r="K19">
        <v>35000</v>
      </c>
      <c r="L19">
        <v>350</v>
      </c>
      <c r="M19">
        <v>24500</v>
      </c>
      <c r="N19">
        <f>Table1[[#This Row],[Units_Delivered]]-Table1[[#This Row],[Units_Sold]]</f>
        <v>10</v>
      </c>
      <c r="O19">
        <v>10500</v>
      </c>
    </row>
    <row r="20" spans="1:15" x14ac:dyDescent="0.2">
      <c r="A20" s="1">
        <v>45310</v>
      </c>
      <c r="B20" t="s">
        <v>21</v>
      </c>
      <c r="C20" t="s">
        <v>16</v>
      </c>
      <c r="D20" t="s">
        <v>25</v>
      </c>
      <c r="E20">
        <v>14</v>
      </c>
      <c r="F20">
        <v>92</v>
      </c>
      <c r="G20">
        <v>90</v>
      </c>
      <c r="H20">
        <v>4</v>
      </c>
      <c r="I20">
        <v>75</v>
      </c>
      <c r="J20">
        <v>700</v>
      </c>
      <c r="K20">
        <v>52500</v>
      </c>
      <c r="L20">
        <v>500</v>
      </c>
      <c r="M20">
        <v>37500</v>
      </c>
      <c r="N20">
        <f>Table1[[#This Row],[Units_Delivered]]-Table1[[#This Row],[Units_Sold]]</f>
        <v>15</v>
      </c>
      <c r="O20">
        <v>15000</v>
      </c>
    </row>
    <row r="21" spans="1:15" x14ac:dyDescent="0.2">
      <c r="A21" s="1">
        <v>45311</v>
      </c>
      <c r="B21" t="s">
        <v>24</v>
      </c>
      <c r="C21" t="s">
        <v>19</v>
      </c>
      <c r="D21" t="s">
        <v>26</v>
      </c>
      <c r="E21">
        <v>17</v>
      </c>
      <c r="F21">
        <v>87</v>
      </c>
      <c r="G21">
        <v>70</v>
      </c>
      <c r="H21">
        <v>6</v>
      </c>
      <c r="I21">
        <v>60</v>
      </c>
      <c r="J21">
        <v>400</v>
      </c>
      <c r="K21">
        <v>24000</v>
      </c>
      <c r="L21">
        <v>250</v>
      </c>
      <c r="M21">
        <v>15000</v>
      </c>
      <c r="N21">
        <f>Table1[[#This Row],[Units_Delivered]]-Table1[[#This Row],[Units_Sold]]</f>
        <v>10</v>
      </c>
      <c r="O21">
        <v>9000</v>
      </c>
    </row>
    <row r="22" spans="1:15" x14ac:dyDescent="0.2">
      <c r="A22" s="1">
        <v>45312</v>
      </c>
      <c r="B22" t="s">
        <v>15</v>
      </c>
      <c r="C22" t="s">
        <v>22</v>
      </c>
      <c r="D22" t="s">
        <v>17</v>
      </c>
      <c r="E22">
        <v>12</v>
      </c>
      <c r="F22">
        <v>130</v>
      </c>
      <c r="G22">
        <v>95</v>
      </c>
      <c r="H22">
        <v>9</v>
      </c>
      <c r="I22">
        <v>85</v>
      </c>
      <c r="J22">
        <v>300</v>
      </c>
      <c r="K22">
        <v>25500</v>
      </c>
      <c r="L22">
        <v>200</v>
      </c>
      <c r="M22">
        <v>17000</v>
      </c>
      <c r="N22">
        <f>Table1[[#This Row],[Units_Delivered]]-Table1[[#This Row],[Units_Sold]]</f>
        <v>10</v>
      </c>
      <c r="O22">
        <v>8500</v>
      </c>
    </row>
    <row r="23" spans="1:15" x14ac:dyDescent="0.2">
      <c r="A23" s="1">
        <v>45313</v>
      </c>
      <c r="B23" t="s">
        <v>18</v>
      </c>
      <c r="C23" t="s">
        <v>16</v>
      </c>
      <c r="D23" t="s">
        <v>20</v>
      </c>
      <c r="E23">
        <v>24</v>
      </c>
      <c r="F23">
        <v>110</v>
      </c>
      <c r="G23">
        <v>108</v>
      </c>
      <c r="H23">
        <v>4</v>
      </c>
      <c r="I23">
        <v>90</v>
      </c>
      <c r="J23">
        <v>500</v>
      </c>
      <c r="K23">
        <v>45000</v>
      </c>
      <c r="L23">
        <v>350</v>
      </c>
      <c r="M23">
        <v>31500</v>
      </c>
      <c r="N23">
        <f>Table1[[#This Row],[Units_Delivered]]-Table1[[#This Row],[Units_Sold]]</f>
        <v>18</v>
      </c>
      <c r="O23">
        <v>13500</v>
      </c>
    </row>
    <row r="24" spans="1:15" x14ac:dyDescent="0.2">
      <c r="A24" s="1">
        <v>45314</v>
      </c>
      <c r="B24" t="s">
        <v>21</v>
      </c>
      <c r="C24" t="s">
        <v>19</v>
      </c>
      <c r="D24" t="s">
        <v>23</v>
      </c>
      <c r="E24">
        <v>13</v>
      </c>
      <c r="F24">
        <v>95</v>
      </c>
      <c r="G24">
        <v>80</v>
      </c>
      <c r="H24">
        <v>6</v>
      </c>
      <c r="I24">
        <v>70</v>
      </c>
      <c r="J24">
        <v>700</v>
      </c>
      <c r="K24">
        <v>49000</v>
      </c>
      <c r="L24">
        <v>500</v>
      </c>
      <c r="M24">
        <v>35000</v>
      </c>
      <c r="N24">
        <f>Table1[[#This Row],[Units_Delivered]]-Table1[[#This Row],[Units_Sold]]</f>
        <v>10</v>
      </c>
      <c r="O24">
        <v>14000</v>
      </c>
    </row>
    <row r="25" spans="1:15" x14ac:dyDescent="0.2">
      <c r="A25" s="1">
        <v>45315</v>
      </c>
      <c r="B25" t="s">
        <v>24</v>
      </c>
      <c r="C25" t="s">
        <v>22</v>
      </c>
      <c r="D25" t="s">
        <v>25</v>
      </c>
      <c r="E25">
        <v>11</v>
      </c>
      <c r="F25">
        <v>85</v>
      </c>
      <c r="G25">
        <v>60</v>
      </c>
      <c r="H25">
        <v>9</v>
      </c>
      <c r="I25">
        <v>55</v>
      </c>
      <c r="J25">
        <v>400</v>
      </c>
      <c r="K25">
        <v>22000</v>
      </c>
      <c r="L25">
        <v>250</v>
      </c>
      <c r="M25">
        <v>13750</v>
      </c>
      <c r="N25">
        <f>Table1[[#This Row],[Units_Delivered]]-Table1[[#This Row],[Units_Sold]]</f>
        <v>5</v>
      </c>
      <c r="O25">
        <v>8250</v>
      </c>
    </row>
    <row r="26" spans="1:15" x14ac:dyDescent="0.2">
      <c r="A26" s="1">
        <v>45316</v>
      </c>
      <c r="B26" t="s">
        <v>15</v>
      </c>
      <c r="C26" t="s">
        <v>16</v>
      </c>
      <c r="D26" t="s">
        <v>26</v>
      </c>
      <c r="E26">
        <v>30</v>
      </c>
      <c r="F26">
        <v>140</v>
      </c>
      <c r="G26">
        <v>135</v>
      </c>
      <c r="H26">
        <v>3</v>
      </c>
      <c r="I26">
        <v>115</v>
      </c>
      <c r="J26">
        <v>300</v>
      </c>
      <c r="K26">
        <v>34500</v>
      </c>
      <c r="L26">
        <v>200</v>
      </c>
      <c r="M26">
        <v>23000</v>
      </c>
      <c r="N26">
        <f>Table1[[#This Row],[Units_Delivered]]-Table1[[#This Row],[Units_Sold]]</f>
        <v>20</v>
      </c>
      <c r="O26">
        <v>11500</v>
      </c>
    </row>
    <row r="27" spans="1:15" x14ac:dyDescent="0.2">
      <c r="A27" s="1">
        <v>45317</v>
      </c>
      <c r="B27" t="s">
        <v>18</v>
      </c>
      <c r="C27" t="s">
        <v>19</v>
      </c>
      <c r="D27" t="s">
        <v>17</v>
      </c>
      <c r="E27">
        <v>18</v>
      </c>
      <c r="F27">
        <v>120</v>
      </c>
      <c r="G27">
        <v>100</v>
      </c>
      <c r="H27">
        <v>7</v>
      </c>
      <c r="I27">
        <v>85</v>
      </c>
      <c r="J27">
        <v>500</v>
      </c>
      <c r="K27">
        <v>42500</v>
      </c>
      <c r="L27">
        <v>350</v>
      </c>
      <c r="M27">
        <v>29750</v>
      </c>
      <c r="N27">
        <f>Table1[[#This Row],[Units_Delivered]]-Table1[[#This Row],[Units_Sold]]</f>
        <v>15</v>
      </c>
      <c r="O27">
        <v>12750</v>
      </c>
    </row>
    <row r="28" spans="1:15" x14ac:dyDescent="0.2">
      <c r="A28" s="1">
        <v>45318</v>
      </c>
      <c r="B28" t="s">
        <v>21</v>
      </c>
      <c r="C28" t="s">
        <v>22</v>
      </c>
      <c r="D28" t="s">
        <v>20</v>
      </c>
      <c r="E28">
        <v>10</v>
      </c>
      <c r="F28">
        <v>90</v>
      </c>
      <c r="G28">
        <v>65</v>
      </c>
      <c r="H28">
        <v>9</v>
      </c>
      <c r="I28">
        <v>55</v>
      </c>
      <c r="J28">
        <v>700</v>
      </c>
      <c r="K28">
        <v>38500</v>
      </c>
      <c r="L28">
        <v>500</v>
      </c>
      <c r="M28">
        <v>27500</v>
      </c>
      <c r="N28">
        <f>Table1[[#This Row],[Units_Delivered]]-Table1[[#This Row],[Units_Sold]]</f>
        <v>10</v>
      </c>
      <c r="O28">
        <v>11000</v>
      </c>
    </row>
    <row r="29" spans="1:15" x14ac:dyDescent="0.2">
      <c r="A29" s="1">
        <v>45319</v>
      </c>
      <c r="B29" t="s">
        <v>24</v>
      </c>
      <c r="C29" t="s">
        <v>16</v>
      </c>
      <c r="D29" t="s">
        <v>23</v>
      </c>
      <c r="E29">
        <v>20</v>
      </c>
      <c r="F29">
        <v>100</v>
      </c>
      <c r="G29">
        <v>97</v>
      </c>
      <c r="H29">
        <v>3</v>
      </c>
      <c r="I29">
        <v>80</v>
      </c>
      <c r="J29">
        <v>400</v>
      </c>
      <c r="K29">
        <v>32000</v>
      </c>
      <c r="L29">
        <v>250</v>
      </c>
      <c r="M29">
        <v>20000</v>
      </c>
      <c r="N29">
        <f>Table1[[#This Row],[Units_Delivered]]-Table1[[#This Row],[Units_Sold]]</f>
        <v>17</v>
      </c>
      <c r="O29">
        <v>12000</v>
      </c>
    </row>
    <row r="30" spans="1:15" x14ac:dyDescent="0.2">
      <c r="A30" s="1">
        <v>45320</v>
      </c>
      <c r="B30" t="s">
        <v>15</v>
      </c>
      <c r="C30" t="s">
        <v>19</v>
      </c>
      <c r="D30" t="s">
        <v>25</v>
      </c>
      <c r="E30">
        <v>17</v>
      </c>
      <c r="F30">
        <v>135</v>
      </c>
      <c r="G30">
        <v>115</v>
      </c>
      <c r="H30">
        <v>6</v>
      </c>
      <c r="I30">
        <v>100</v>
      </c>
      <c r="J30">
        <v>300</v>
      </c>
      <c r="K30">
        <v>30000</v>
      </c>
      <c r="L30">
        <v>200</v>
      </c>
      <c r="M30">
        <v>20000</v>
      </c>
      <c r="N30">
        <f>Table1[[#This Row],[Units_Delivered]]-Table1[[#This Row],[Units_Sold]]</f>
        <v>15</v>
      </c>
      <c r="O30">
        <v>10000</v>
      </c>
    </row>
    <row r="31" spans="1:15" x14ac:dyDescent="0.2">
      <c r="A31" s="1">
        <v>45321</v>
      </c>
      <c r="B31" t="s">
        <v>18</v>
      </c>
      <c r="C31" t="s">
        <v>22</v>
      </c>
      <c r="D31" t="s">
        <v>26</v>
      </c>
      <c r="E31">
        <v>12</v>
      </c>
      <c r="F31">
        <v>115</v>
      </c>
      <c r="G31">
        <v>85</v>
      </c>
      <c r="H31">
        <v>8</v>
      </c>
      <c r="I31">
        <v>75</v>
      </c>
      <c r="J31">
        <v>500</v>
      </c>
      <c r="K31">
        <v>37500</v>
      </c>
      <c r="L31">
        <v>350</v>
      </c>
      <c r="M31">
        <v>26250</v>
      </c>
      <c r="N31">
        <f>Table1[[#This Row],[Units_Delivered]]-Table1[[#This Row],[Units_Sold]]</f>
        <v>10</v>
      </c>
      <c r="O31">
        <v>11250</v>
      </c>
    </row>
    <row r="32" spans="1:15" x14ac:dyDescent="0.2">
      <c r="A32" s="1">
        <v>45322</v>
      </c>
      <c r="B32" t="s">
        <v>21</v>
      </c>
      <c r="C32" t="s">
        <v>16</v>
      </c>
      <c r="D32" t="s">
        <v>17</v>
      </c>
      <c r="E32">
        <v>16</v>
      </c>
      <c r="F32">
        <v>100</v>
      </c>
      <c r="G32">
        <v>98</v>
      </c>
      <c r="H32">
        <v>4</v>
      </c>
      <c r="I32">
        <v>80</v>
      </c>
      <c r="J32">
        <v>700</v>
      </c>
      <c r="K32">
        <v>56000</v>
      </c>
      <c r="L32">
        <v>500</v>
      </c>
      <c r="M32">
        <v>40000</v>
      </c>
      <c r="N32">
        <f>Table1[[#This Row],[Units_Delivered]]-Table1[[#This Row],[Units_Sold]]</f>
        <v>18</v>
      </c>
      <c r="O32">
        <v>16000</v>
      </c>
    </row>
    <row r="33" spans="1:15" x14ac:dyDescent="0.2">
      <c r="A33" s="1">
        <v>45323</v>
      </c>
      <c r="B33" t="s">
        <v>24</v>
      </c>
      <c r="C33" t="s">
        <v>19</v>
      </c>
      <c r="D33" t="s">
        <v>20</v>
      </c>
      <c r="E33">
        <v>15</v>
      </c>
      <c r="F33">
        <v>90</v>
      </c>
      <c r="G33">
        <v>75</v>
      </c>
      <c r="H33">
        <v>6</v>
      </c>
      <c r="I33">
        <v>65</v>
      </c>
      <c r="J33">
        <v>400</v>
      </c>
      <c r="K33">
        <v>26000</v>
      </c>
      <c r="L33">
        <v>250</v>
      </c>
      <c r="M33">
        <v>16250</v>
      </c>
      <c r="N33">
        <f>Table1[[#This Row],[Units_Delivered]]-Table1[[#This Row],[Units_Sold]]</f>
        <v>10</v>
      </c>
      <c r="O33">
        <v>9750</v>
      </c>
    </row>
    <row r="34" spans="1:15" x14ac:dyDescent="0.2">
      <c r="A34" s="1">
        <v>45324</v>
      </c>
      <c r="B34" t="s">
        <v>15</v>
      </c>
      <c r="C34" t="s">
        <v>22</v>
      </c>
      <c r="D34" t="s">
        <v>23</v>
      </c>
      <c r="E34">
        <v>11</v>
      </c>
      <c r="F34">
        <v>130</v>
      </c>
      <c r="G34">
        <v>95</v>
      </c>
      <c r="H34">
        <v>9</v>
      </c>
      <c r="I34">
        <v>85</v>
      </c>
      <c r="J34">
        <v>300</v>
      </c>
      <c r="K34">
        <v>25500</v>
      </c>
      <c r="L34">
        <v>200</v>
      </c>
      <c r="M34">
        <v>17000</v>
      </c>
      <c r="N34">
        <f>Table1[[#This Row],[Units_Delivered]]-Table1[[#This Row],[Units_Sold]]</f>
        <v>10</v>
      </c>
      <c r="O34">
        <v>8500</v>
      </c>
    </row>
    <row r="35" spans="1:15" x14ac:dyDescent="0.2">
      <c r="A35" s="1">
        <v>45325</v>
      </c>
      <c r="B35" t="s">
        <v>18</v>
      </c>
      <c r="C35" t="s">
        <v>16</v>
      </c>
      <c r="D35" t="s">
        <v>25</v>
      </c>
      <c r="E35">
        <v>22</v>
      </c>
      <c r="F35">
        <v>120</v>
      </c>
      <c r="G35">
        <v>118</v>
      </c>
      <c r="H35">
        <v>4</v>
      </c>
      <c r="I35">
        <v>95</v>
      </c>
      <c r="J35">
        <v>500</v>
      </c>
      <c r="K35">
        <v>47500</v>
      </c>
      <c r="L35">
        <v>350</v>
      </c>
      <c r="M35">
        <v>33250</v>
      </c>
      <c r="N35">
        <f>Table1[[#This Row],[Units_Delivered]]-Table1[[#This Row],[Units_Sold]]</f>
        <v>23</v>
      </c>
      <c r="O35">
        <v>14250</v>
      </c>
    </row>
    <row r="36" spans="1:15" x14ac:dyDescent="0.2">
      <c r="A36" s="1">
        <v>45326</v>
      </c>
      <c r="B36" t="s">
        <v>21</v>
      </c>
      <c r="C36" t="s">
        <v>19</v>
      </c>
      <c r="D36" t="s">
        <v>26</v>
      </c>
      <c r="E36">
        <v>14</v>
      </c>
      <c r="F36">
        <v>95</v>
      </c>
      <c r="G36">
        <v>80</v>
      </c>
      <c r="H36">
        <v>6</v>
      </c>
      <c r="I36">
        <v>70</v>
      </c>
      <c r="J36">
        <v>700</v>
      </c>
      <c r="K36">
        <v>49000</v>
      </c>
      <c r="L36">
        <v>500</v>
      </c>
      <c r="M36">
        <v>35000</v>
      </c>
      <c r="N36">
        <f>Table1[[#This Row],[Units_Delivered]]-Table1[[#This Row],[Units_Sold]]</f>
        <v>10</v>
      </c>
      <c r="O36">
        <v>14000</v>
      </c>
    </row>
    <row r="37" spans="1:15" x14ac:dyDescent="0.2">
      <c r="A37" s="1">
        <v>45327</v>
      </c>
      <c r="B37" t="s">
        <v>24</v>
      </c>
      <c r="C37" t="s">
        <v>22</v>
      </c>
      <c r="D37" t="s">
        <v>17</v>
      </c>
      <c r="E37">
        <v>10</v>
      </c>
      <c r="F37">
        <v>85</v>
      </c>
      <c r="G37">
        <v>60</v>
      </c>
      <c r="H37">
        <v>9</v>
      </c>
      <c r="I37">
        <v>55</v>
      </c>
      <c r="J37">
        <v>400</v>
      </c>
      <c r="K37">
        <v>22000</v>
      </c>
      <c r="L37">
        <v>250</v>
      </c>
      <c r="M37">
        <v>13750</v>
      </c>
      <c r="N37">
        <f>Table1[[#This Row],[Units_Delivered]]-Table1[[#This Row],[Units_Sold]]</f>
        <v>5</v>
      </c>
      <c r="O37">
        <v>8250</v>
      </c>
    </row>
    <row r="38" spans="1:15" x14ac:dyDescent="0.2">
      <c r="A38" s="1">
        <v>45328</v>
      </c>
      <c r="B38" t="s">
        <v>15</v>
      </c>
      <c r="C38" t="s">
        <v>16</v>
      </c>
      <c r="D38" t="s">
        <v>20</v>
      </c>
      <c r="E38">
        <v>28</v>
      </c>
      <c r="F38">
        <v>140</v>
      </c>
      <c r="G38">
        <v>135</v>
      </c>
      <c r="H38">
        <v>3</v>
      </c>
      <c r="I38">
        <v>115</v>
      </c>
      <c r="J38">
        <v>300</v>
      </c>
      <c r="K38">
        <v>34500</v>
      </c>
      <c r="L38">
        <v>200</v>
      </c>
      <c r="M38">
        <v>23000</v>
      </c>
      <c r="N38">
        <f>Table1[[#This Row],[Units_Delivered]]-Table1[[#This Row],[Units_Sold]]</f>
        <v>20</v>
      </c>
      <c r="O38">
        <v>11500</v>
      </c>
    </row>
    <row r="39" spans="1:15" x14ac:dyDescent="0.2">
      <c r="A39" s="1">
        <v>45329</v>
      </c>
      <c r="B39" t="s">
        <v>18</v>
      </c>
      <c r="C39" t="s">
        <v>19</v>
      </c>
      <c r="D39" t="s">
        <v>23</v>
      </c>
      <c r="E39">
        <v>16</v>
      </c>
      <c r="F39">
        <v>110</v>
      </c>
      <c r="G39">
        <v>90</v>
      </c>
      <c r="H39">
        <v>7</v>
      </c>
      <c r="I39">
        <v>80</v>
      </c>
      <c r="J39">
        <v>500</v>
      </c>
      <c r="K39">
        <v>40000</v>
      </c>
      <c r="L39">
        <v>350</v>
      </c>
      <c r="M39">
        <v>28000</v>
      </c>
      <c r="N39">
        <f>Table1[[#This Row],[Units_Delivered]]-Table1[[#This Row],[Units_Sold]]</f>
        <v>10</v>
      </c>
      <c r="O39">
        <v>12000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Henrietta Mensah</dc:creator>
  <cp:lastModifiedBy>Henrietta Mensah</cp:lastModifiedBy>
  <dcterms:created xsi:type="dcterms:W3CDTF">2026-04-04T22:12:47Z</dcterms:created>
  <dcterms:modified xsi:type="dcterms:W3CDTF">2026-04-04T22:13:07Z</dcterms:modified>
</cp:coreProperties>
</file>